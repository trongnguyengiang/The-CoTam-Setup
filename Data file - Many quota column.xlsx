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500" windowWidth="28040" windowHeight="16940" tabRatio="600" firstSheet="0" activeTab="2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output" sheetId="3" state="visible" r:id="rId3"/>
    <sheet xmlns:r="http://schemas.openxmlformats.org/officeDocument/2006/relationships" name="quotasBase" sheetId="4" state="visible" r:id="rId4"/>
    <sheet xmlns:r="http://schemas.openxmlformats.org/officeDocument/2006/relationships" name="quotasO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sz val="12"/>
    </font>
    <font>
      <b val="1"/>
    </font>
  </fonts>
  <fills count="6">
    <fill>
      <patternFill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00FFC000"/>
        <bgColor rgb="00FFC000"/>
      </patternFill>
    </fill>
    <fill>
      <patternFill patternType="solid">
        <fgColor rgb="00FFFF00"/>
        <bgColor rgb="00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1" fillId="0" borderId="0"/>
    <xf numFmtId="41" fontId="1" fillId="0" borderId="0"/>
  </cellStyleXfs>
  <cellXfs count="27">
    <xf numFmtId="0" fontId="0" fillId="0" borderId="0" pivotButton="0" quotePrefix="0" xfId="0"/>
    <xf numFmtId="41" fontId="0" fillId="0" borderId="0" pivotButton="0" quotePrefix="0" xfId="1"/>
    <xf numFmtId="0" fontId="0" fillId="0" borderId="0" pivotButton="0" quotePrefix="1" xfId="0"/>
    <xf numFmtId="9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/>
    </xf>
    <xf numFmtId="9" fontId="2" fillId="2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1" fontId="2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9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top"/>
    </xf>
    <xf numFmtId="0" fontId="3" fillId="4" borderId="0" pivotButton="0" quotePrefix="0" xfId="0"/>
    <xf numFmtId="0" fontId="3" fillId="4" borderId="0" applyAlignment="1" pivotButton="0" quotePrefix="0" xfId="0">
      <alignment horizontal="center" vertical="center"/>
    </xf>
    <xf numFmtId="9" fontId="3" fillId="4" borderId="0" applyAlignment="1" pivotButton="0" quotePrefix="0" xfId="0">
      <alignment horizontal="center" vertical="center"/>
    </xf>
    <xf numFmtId="1" fontId="3" fillId="5" borderId="0" applyAlignment="1" pivotButton="0" quotePrefix="0" xfId="0">
      <alignment horizontal="center" vertical="center"/>
    </xf>
    <xf numFmtId="1" fontId="3" fillId="4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1" fontId="3" fillId="0" borderId="0" applyAlignment="1" pivotButton="0" quotePrefix="0" xfId="0">
      <alignment horizontal="center" vertical="center"/>
    </xf>
  </cellXfs>
  <cellStyles count="2">
    <cellStyle name="Normal" xfId="0" builtinId="0"/>
    <cellStyle name="Comma [0]" xfId="1" builtinId="6"/>
  </cellStyles>
  <dxfs count="197"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"/>
  <sheetViews>
    <sheetView workbookViewId="0">
      <selection activeCell="C1" sqref="C1:C1048576"/>
    </sheetView>
  </sheetViews>
  <sheetFormatPr baseColWidth="10" defaultRowHeight="16"/>
  <sheetData>
    <row r="1">
      <c r="A1" t="inlineStr">
        <is>
          <t>id</t>
        </is>
      </c>
      <c r="B1" t="inlineStr">
        <is>
          <t>Sample</t>
        </is>
      </c>
      <c r="C1" t="inlineStr">
        <is>
          <t>gender</t>
        </is>
      </c>
      <c r="D1" t="inlineStr">
        <is>
          <t>ethnicity</t>
        </is>
      </c>
      <c r="E1" t="inlineStr">
        <is>
          <t>age</t>
        </is>
      </c>
      <c r="F1" t="inlineStr">
        <is>
          <t>homeowner</t>
        </is>
      </c>
      <c r="G1" t="inlineStr">
        <is>
          <t>party</t>
        </is>
      </c>
      <c r="H1" t="inlineStr">
        <is>
          <t>state</t>
        </is>
      </c>
      <c r="I1" t="inlineStr">
        <is>
          <t>Q1</t>
        </is>
      </c>
      <c r="J1" t="inlineStr">
        <is>
          <t>Q2</t>
        </is>
      </c>
      <c r="K1" t="inlineStr">
        <is>
          <t>Q3</t>
        </is>
      </c>
      <c r="L1" t="inlineStr">
        <is>
          <t>Q4</t>
        </is>
      </c>
      <c r="M1" t="inlineStr">
        <is>
          <t>Q5</t>
        </is>
      </c>
      <c r="N1" t="inlineStr">
        <is>
          <t>Q6</t>
        </is>
      </c>
      <c r="O1" t="inlineStr">
        <is>
          <t>Q7</t>
        </is>
      </c>
      <c r="P1" t="inlineStr">
        <is>
          <t>Q8</t>
        </is>
      </c>
      <c r="Q1" t="inlineStr">
        <is>
          <t>Q9</t>
        </is>
      </c>
      <c r="R1" t="inlineStr">
        <is>
          <t>Q10</t>
        </is>
      </c>
      <c r="S1" t="inlineStr">
        <is>
          <t>B1Q11</t>
        </is>
      </c>
      <c r="T1" t="inlineStr">
        <is>
          <t>B1Q12</t>
        </is>
      </c>
      <c r="U1" t="inlineStr">
        <is>
          <t>B1Q13</t>
        </is>
      </c>
      <c r="V1" t="inlineStr">
        <is>
          <t>B1Q14</t>
        </is>
      </c>
      <c r="W1" t="inlineStr">
        <is>
          <t>B1Q15</t>
        </is>
      </c>
      <c r="X1" t="inlineStr">
        <is>
          <t>Q16_1</t>
        </is>
      </c>
      <c r="Y1" t="inlineStr">
        <is>
          <t>Q16_2</t>
        </is>
      </c>
      <c r="Z1" t="inlineStr">
        <is>
          <t>Q16_3</t>
        </is>
      </c>
      <c r="AA1" t="inlineStr">
        <is>
          <t>Q16_4</t>
        </is>
      </c>
      <c r="AB1" t="inlineStr">
        <is>
          <t>Q16_5</t>
        </is>
      </c>
    </row>
    <row r="2">
      <c r="A2" t="n">
        <v>1</v>
      </c>
      <c r="B2" t="n">
        <v>1</v>
      </c>
      <c r="C2" t="n">
        <v>2</v>
      </c>
      <c r="D2" t="n">
        <v>4</v>
      </c>
      <c r="E2" t="n">
        <v>3</v>
      </c>
      <c r="F2" t="n">
        <v>2</v>
      </c>
      <c r="G2" t="n">
        <v>1</v>
      </c>
      <c r="H2" t="n">
        <v>48</v>
      </c>
      <c r="I2" t="n">
        <v>4</v>
      </c>
      <c r="J2" t="n">
        <v>2</v>
      </c>
      <c r="K2" t="n">
        <v>1</v>
      </c>
      <c r="L2" t="n">
        <v>1</v>
      </c>
      <c r="M2" t="n">
        <v>3</v>
      </c>
      <c r="N2" t="n">
        <v>3</v>
      </c>
      <c r="O2" t="n">
        <v>5</v>
      </c>
      <c r="P2" t="n">
        <v>1</v>
      </c>
      <c r="Q2" t="n">
        <v>5</v>
      </c>
      <c r="R2" t="n">
        <v>2</v>
      </c>
      <c r="S2" t="n">
        <v>3</v>
      </c>
      <c r="T2" t="n">
        <v>3</v>
      </c>
      <c r="U2" t="n">
        <v>4</v>
      </c>
      <c r="V2" t="n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n">
        <v>1</v>
      </c>
    </row>
    <row r="3">
      <c r="A3" t="n">
        <v>2</v>
      </c>
      <c r="B3" t="n">
        <v>1</v>
      </c>
      <c r="C3" t="n">
        <v>1</v>
      </c>
      <c r="D3" t="n">
        <v>3</v>
      </c>
      <c r="E3" t="n">
        <v>1</v>
      </c>
      <c r="F3" t="n">
        <v>2</v>
      </c>
      <c r="G3" t="n">
        <v>2</v>
      </c>
      <c r="H3" t="n">
        <v>42</v>
      </c>
      <c r="I3" t="n">
        <v>1</v>
      </c>
      <c r="J3" t="n">
        <v>2</v>
      </c>
      <c r="K3" t="n">
        <v>1</v>
      </c>
      <c r="L3" t="n">
        <v>5</v>
      </c>
      <c r="M3" t="n">
        <v>3</v>
      </c>
      <c r="N3" t="n">
        <v>6</v>
      </c>
      <c r="O3" t="n">
        <v>3</v>
      </c>
      <c r="P3" t="n">
        <v>4</v>
      </c>
      <c r="Q3" t="n">
        <v>4</v>
      </c>
      <c r="R3" t="n">
        <v>5</v>
      </c>
      <c r="S3" t="n">
        <v>3</v>
      </c>
      <c r="T3" t="n">
        <v>2</v>
      </c>
      <c r="U3" t="n">
        <v>2</v>
      </c>
      <c r="V3" t="n">
        <v>2</v>
      </c>
      <c r="W3" t="n">
        <v>2</v>
      </c>
      <c r="X3" t="n">
        <v>0</v>
      </c>
      <c r="Y3" t="n">
        <v>1</v>
      </c>
      <c r="Z3" t="n">
        <v>0</v>
      </c>
      <c r="AA3" t="n">
        <v>0</v>
      </c>
      <c r="AB3" t="n">
        <v>0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3</v>
      </c>
      <c r="H4" t="n">
        <v>10</v>
      </c>
      <c r="I4" t="n">
        <v>4</v>
      </c>
      <c r="J4" t="n">
        <v>6</v>
      </c>
      <c r="K4" t="n">
        <v>5</v>
      </c>
      <c r="L4" t="n">
        <v>5</v>
      </c>
      <c r="M4" t="n">
        <v>5</v>
      </c>
      <c r="N4" t="n">
        <v>3</v>
      </c>
      <c r="O4" t="n">
        <v>5</v>
      </c>
      <c r="P4" t="n">
        <v>6</v>
      </c>
      <c r="Q4" t="n">
        <v>3</v>
      </c>
      <c r="R4" t="n">
        <v>4</v>
      </c>
      <c r="S4" t="n">
        <v>1</v>
      </c>
      <c r="T4" t="n">
        <v>1</v>
      </c>
      <c r="U4" t="n">
        <v>1</v>
      </c>
      <c r="V4" t="n">
        <v>2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0</v>
      </c>
    </row>
    <row r="5">
      <c r="A5" t="n">
        <v>4</v>
      </c>
      <c r="B5" t="n">
        <v>1</v>
      </c>
      <c r="C5" t="n">
        <v>1</v>
      </c>
      <c r="D5" t="n">
        <v>4</v>
      </c>
      <c r="E5" t="n">
        <v>3</v>
      </c>
      <c r="F5" t="n">
        <v>2</v>
      </c>
      <c r="G5" t="n">
        <v>3</v>
      </c>
      <c r="H5" t="n">
        <v>21</v>
      </c>
      <c r="I5" t="n">
        <v>3</v>
      </c>
      <c r="J5" t="n">
        <v>1</v>
      </c>
      <c r="K5" t="n">
        <v>1</v>
      </c>
      <c r="L5" t="n">
        <v>2</v>
      </c>
      <c r="M5" t="n">
        <v>2</v>
      </c>
      <c r="N5" t="n">
        <v>3</v>
      </c>
      <c r="O5" t="n">
        <v>2</v>
      </c>
      <c r="P5" t="n">
        <v>6</v>
      </c>
      <c r="Q5" t="n">
        <v>4</v>
      </c>
      <c r="R5" t="n">
        <v>5</v>
      </c>
      <c r="S5" t="n">
        <v>2</v>
      </c>
      <c r="T5" t="n">
        <v>4</v>
      </c>
      <c r="U5" t="n">
        <v>1</v>
      </c>
      <c r="V5" t="n">
        <v>4</v>
      </c>
      <c r="W5" t="n">
        <v>3</v>
      </c>
      <c r="X5" t="n">
        <v>1</v>
      </c>
      <c r="Y5" t="n">
        <v>0</v>
      </c>
      <c r="Z5" t="n">
        <v>1</v>
      </c>
      <c r="AA5" t="n">
        <v>0</v>
      </c>
      <c r="AB5" t="n">
        <v>1</v>
      </c>
    </row>
    <row r="6">
      <c r="A6" t="n">
        <v>5</v>
      </c>
      <c r="B6" t="n">
        <v>1</v>
      </c>
      <c r="C6" t="n">
        <v>2</v>
      </c>
      <c r="D6" t="n">
        <v>3</v>
      </c>
      <c r="E6" t="n">
        <v>1</v>
      </c>
      <c r="F6" t="n">
        <v>2</v>
      </c>
      <c r="G6" t="n">
        <v>2</v>
      </c>
      <c r="H6" t="n">
        <v>45</v>
      </c>
      <c r="I6" t="n">
        <v>4</v>
      </c>
      <c r="J6" t="n">
        <v>2</v>
      </c>
      <c r="K6" t="n">
        <v>4</v>
      </c>
      <c r="L6" t="n">
        <v>1</v>
      </c>
      <c r="M6" t="n">
        <v>4</v>
      </c>
      <c r="N6" t="n">
        <v>5</v>
      </c>
      <c r="O6" t="n">
        <v>2</v>
      </c>
      <c r="P6" t="n">
        <v>6</v>
      </c>
      <c r="Q6" t="n">
        <v>5</v>
      </c>
      <c r="R6" t="n">
        <v>7</v>
      </c>
      <c r="S6" t="n">
        <v>2</v>
      </c>
      <c r="T6" t="n">
        <v>3</v>
      </c>
      <c r="U6" t="n">
        <v>2</v>
      </c>
      <c r="V6" t="n">
        <v>1</v>
      </c>
      <c r="W6" t="n">
        <v>3</v>
      </c>
      <c r="X6" t="n">
        <v>0</v>
      </c>
      <c r="Y6" t="n">
        <v>1</v>
      </c>
      <c r="Z6" t="n">
        <v>0</v>
      </c>
      <c r="AA6" t="n">
        <v>0</v>
      </c>
      <c r="AB6" t="n">
        <v>1</v>
      </c>
    </row>
    <row r="7">
      <c r="A7" t="n">
        <v>6</v>
      </c>
      <c r="B7" t="n">
        <v>1</v>
      </c>
      <c r="C7" t="n">
        <v>2</v>
      </c>
      <c r="D7" t="n">
        <v>3</v>
      </c>
      <c r="E7" t="n">
        <v>1</v>
      </c>
      <c r="F7" t="n">
        <v>2</v>
      </c>
      <c r="G7" t="n">
        <v>3</v>
      </c>
      <c r="H7" t="n">
        <v>1</v>
      </c>
      <c r="I7" t="n">
        <v>4</v>
      </c>
      <c r="J7" t="n">
        <v>5</v>
      </c>
      <c r="K7" t="n">
        <v>2</v>
      </c>
      <c r="L7" t="n">
        <v>4</v>
      </c>
      <c r="M7" t="n">
        <v>6</v>
      </c>
      <c r="N7" t="n">
        <v>3</v>
      </c>
      <c r="O7" t="n">
        <v>4</v>
      </c>
      <c r="P7" t="n">
        <v>2</v>
      </c>
      <c r="Q7" t="n">
        <v>5</v>
      </c>
      <c r="R7" t="n">
        <v>7</v>
      </c>
      <c r="S7" t="n">
        <v>2</v>
      </c>
      <c r="T7" t="n">
        <v>2</v>
      </c>
      <c r="U7" t="n">
        <v>2</v>
      </c>
      <c r="V7" t="n">
        <v>4</v>
      </c>
      <c r="W7" t="n">
        <v>2</v>
      </c>
      <c r="X7" t="n">
        <v>1</v>
      </c>
      <c r="Y7" t="n">
        <v>0</v>
      </c>
      <c r="Z7" t="n">
        <v>1</v>
      </c>
      <c r="AA7" t="n">
        <v>1</v>
      </c>
      <c r="AB7" t="n">
        <v>0</v>
      </c>
    </row>
    <row r="8">
      <c r="A8" t="n">
        <v>7</v>
      </c>
      <c r="B8" t="n">
        <v>1</v>
      </c>
      <c r="C8" t="n">
        <v>1</v>
      </c>
      <c r="D8" t="n">
        <v>3</v>
      </c>
      <c r="E8" t="n">
        <v>2</v>
      </c>
      <c r="F8" t="n">
        <v>2</v>
      </c>
      <c r="G8" t="n">
        <v>2</v>
      </c>
      <c r="H8" t="n">
        <v>23</v>
      </c>
      <c r="I8" t="n">
        <v>5</v>
      </c>
      <c r="J8" t="n">
        <v>1</v>
      </c>
      <c r="K8" t="n">
        <v>7</v>
      </c>
      <c r="L8" t="n">
        <v>4</v>
      </c>
      <c r="M8" t="n">
        <v>6</v>
      </c>
      <c r="N8" t="n">
        <v>4</v>
      </c>
      <c r="O8" t="n">
        <v>1</v>
      </c>
      <c r="P8" t="n">
        <v>3</v>
      </c>
      <c r="Q8" t="n">
        <v>1</v>
      </c>
      <c r="R8" t="n">
        <v>5</v>
      </c>
      <c r="S8" t="n">
        <v>1</v>
      </c>
      <c r="T8" t="n">
        <v>4</v>
      </c>
      <c r="U8" t="n">
        <v>1</v>
      </c>
      <c r="V8" t="n">
        <v>2</v>
      </c>
      <c r="W8" t="n">
        <v>3</v>
      </c>
      <c r="X8" t="n">
        <v>1</v>
      </c>
      <c r="Y8" t="n">
        <v>0</v>
      </c>
      <c r="Z8" t="n">
        <v>0</v>
      </c>
      <c r="AA8" t="n">
        <v>1</v>
      </c>
      <c r="AB8" t="n">
        <v>0</v>
      </c>
    </row>
    <row r="9">
      <c r="A9" t="n">
        <v>8</v>
      </c>
      <c r="B9" t="n">
        <v>1</v>
      </c>
      <c r="C9" t="n">
        <v>2</v>
      </c>
      <c r="D9" t="n">
        <v>3</v>
      </c>
      <c r="E9" t="n">
        <v>2</v>
      </c>
      <c r="F9" t="n">
        <v>2</v>
      </c>
      <c r="G9" t="n">
        <v>3</v>
      </c>
      <c r="H9" t="n">
        <v>5</v>
      </c>
      <c r="I9" t="n">
        <v>1</v>
      </c>
      <c r="J9" t="n">
        <v>3</v>
      </c>
      <c r="K9" t="n">
        <v>2</v>
      </c>
      <c r="L9" t="n">
        <v>2</v>
      </c>
      <c r="M9" t="n">
        <v>5</v>
      </c>
      <c r="N9" t="n">
        <v>6</v>
      </c>
      <c r="O9" t="n">
        <v>1</v>
      </c>
      <c r="P9" t="n">
        <v>3</v>
      </c>
      <c r="Q9" t="n">
        <v>5</v>
      </c>
      <c r="R9" t="n">
        <v>5</v>
      </c>
      <c r="S9" t="n">
        <v>2</v>
      </c>
      <c r="T9" t="n">
        <v>4</v>
      </c>
      <c r="U9" t="n">
        <v>4</v>
      </c>
      <c r="V9" t="n">
        <v>3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0</v>
      </c>
    </row>
    <row r="10">
      <c r="A10" t="n">
        <v>9</v>
      </c>
      <c r="B10" t="n">
        <v>1</v>
      </c>
      <c r="C10" t="n">
        <v>1</v>
      </c>
      <c r="D10" t="n">
        <v>2</v>
      </c>
      <c r="E10" t="n">
        <v>2</v>
      </c>
      <c r="F10" t="n">
        <v>1</v>
      </c>
      <c r="G10" t="n">
        <v>3</v>
      </c>
      <c r="H10" t="n">
        <v>14</v>
      </c>
      <c r="I10" t="n">
        <v>4</v>
      </c>
      <c r="J10" t="n">
        <v>5</v>
      </c>
      <c r="K10" t="n">
        <v>3</v>
      </c>
      <c r="L10" t="n">
        <v>5</v>
      </c>
      <c r="M10" t="n">
        <v>1</v>
      </c>
      <c r="N10" t="n">
        <v>1</v>
      </c>
      <c r="O10" t="n">
        <v>2</v>
      </c>
      <c r="P10" t="n">
        <v>6</v>
      </c>
      <c r="Q10" t="n">
        <v>1</v>
      </c>
      <c r="R10" t="n">
        <v>1</v>
      </c>
      <c r="S10" t="n">
        <v>3</v>
      </c>
      <c r="T10" t="n">
        <v>4</v>
      </c>
      <c r="U10" t="n">
        <v>4</v>
      </c>
      <c r="V10" t="n">
        <v>1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3</v>
      </c>
      <c r="F11" t="n">
        <v>2</v>
      </c>
      <c r="G11" t="n">
        <v>2</v>
      </c>
      <c r="H11" t="n">
        <v>29</v>
      </c>
      <c r="I11" t="n">
        <v>4</v>
      </c>
      <c r="J11" t="n">
        <v>4</v>
      </c>
      <c r="K11" t="n">
        <v>1</v>
      </c>
      <c r="L11" t="n">
        <v>5</v>
      </c>
      <c r="M11" t="n">
        <v>1</v>
      </c>
      <c r="N11" t="n">
        <v>5</v>
      </c>
      <c r="O11" t="n">
        <v>3</v>
      </c>
      <c r="P11" t="n">
        <v>3</v>
      </c>
      <c r="Q11" t="n">
        <v>4</v>
      </c>
      <c r="R11" t="n">
        <v>4</v>
      </c>
      <c r="S11" t="n">
        <v>4</v>
      </c>
      <c r="T11" t="n">
        <v>4</v>
      </c>
      <c r="U11" t="n">
        <v>3</v>
      </c>
      <c r="V11" t="n">
        <v>2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</row>
    <row r="12">
      <c r="A12" t="n">
        <v>11</v>
      </c>
      <c r="B12" t="n">
        <v>1</v>
      </c>
      <c r="C12" t="n">
        <v>1</v>
      </c>
      <c r="D12" t="n">
        <v>3</v>
      </c>
      <c r="E12" t="n">
        <v>1</v>
      </c>
      <c r="F12" t="n">
        <v>2</v>
      </c>
      <c r="G12" t="n">
        <v>2</v>
      </c>
      <c r="H12" t="n">
        <v>14</v>
      </c>
      <c r="I12" t="n">
        <v>4</v>
      </c>
      <c r="J12" t="n">
        <v>2</v>
      </c>
      <c r="K12" t="n">
        <v>3</v>
      </c>
      <c r="L12" t="n">
        <v>5</v>
      </c>
      <c r="M12" t="n">
        <v>7</v>
      </c>
      <c r="N12" t="n">
        <v>5</v>
      </c>
      <c r="O12" t="n">
        <v>4</v>
      </c>
      <c r="P12" t="n">
        <v>3</v>
      </c>
      <c r="Q12" t="n">
        <v>4</v>
      </c>
      <c r="R12" t="n">
        <v>1</v>
      </c>
      <c r="S12" t="n">
        <v>2</v>
      </c>
      <c r="T12" t="n">
        <v>1</v>
      </c>
      <c r="U12" t="n">
        <v>2</v>
      </c>
      <c r="V12" t="n">
        <v>1</v>
      </c>
      <c r="W12" t="n">
        <v>2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</row>
    <row r="13">
      <c r="A13" t="n">
        <v>12</v>
      </c>
      <c r="B13" t="n">
        <v>1</v>
      </c>
      <c r="C13" t="n">
        <v>1</v>
      </c>
      <c r="D13" t="n">
        <v>4</v>
      </c>
      <c r="E13" t="n">
        <v>1</v>
      </c>
      <c r="F13" t="n">
        <v>1</v>
      </c>
      <c r="G13" t="n">
        <v>3</v>
      </c>
      <c r="H13" t="n">
        <v>12</v>
      </c>
      <c r="I13" t="n">
        <v>2</v>
      </c>
      <c r="J13" t="n">
        <v>3</v>
      </c>
      <c r="K13" t="n">
        <v>1</v>
      </c>
      <c r="L13" t="n">
        <v>3</v>
      </c>
      <c r="M13" t="n">
        <v>6</v>
      </c>
      <c r="N13" t="n">
        <v>2</v>
      </c>
      <c r="O13" t="n">
        <v>1</v>
      </c>
      <c r="P13" t="n">
        <v>7</v>
      </c>
      <c r="Q13" t="n">
        <v>3</v>
      </c>
      <c r="R13" t="n">
        <v>7</v>
      </c>
      <c r="S13" t="n">
        <v>3</v>
      </c>
      <c r="T13" t="n">
        <v>1</v>
      </c>
      <c r="U13" t="n">
        <v>2</v>
      </c>
      <c r="V13" t="n">
        <v>1</v>
      </c>
      <c r="W13" t="n">
        <v>3</v>
      </c>
      <c r="X13" t="n">
        <v>1</v>
      </c>
      <c r="Y13" t="n">
        <v>1</v>
      </c>
      <c r="Z13" t="n">
        <v>0</v>
      </c>
      <c r="AA13" t="n">
        <v>0</v>
      </c>
      <c r="AB13" t="n">
        <v>0</v>
      </c>
    </row>
    <row r="14">
      <c r="A14" t="n">
        <v>13</v>
      </c>
      <c r="B14" t="n">
        <v>1</v>
      </c>
      <c r="C14" t="n">
        <v>1</v>
      </c>
      <c r="D14" t="n">
        <v>4</v>
      </c>
      <c r="E14" t="n">
        <v>3</v>
      </c>
      <c r="F14" t="n">
        <v>1</v>
      </c>
      <c r="G14" t="n">
        <v>3</v>
      </c>
      <c r="H14" t="n">
        <v>25</v>
      </c>
      <c r="I14" t="n">
        <v>4</v>
      </c>
      <c r="J14" t="n">
        <v>5</v>
      </c>
      <c r="K14" t="n">
        <v>7</v>
      </c>
      <c r="L14" t="n">
        <v>4</v>
      </c>
      <c r="M14" t="n">
        <v>2</v>
      </c>
      <c r="N14" t="n">
        <v>3</v>
      </c>
      <c r="O14" t="n">
        <v>4</v>
      </c>
      <c r="P14" t="n">
        <v>7</v>
      </c>
      <c r="Q14" t="n">
        <v>2</v>
      </c>
      <c r="R14" t="n">
        <v>5</v>
      </c>
      <c r="S14" t="n">
        <v>1</v>
      </c>
      <c r="T14" t="n">
        <v>4</v>
      </c>
      <c r="U14" t="n">
        <v>3</v>
      </c>
      <c r="V14" t="n">
        <v>2</v>
      </c>
      <c r="W14" t="n">
        <v>1</v>
      </c>
      <c r="X14" t="n">
        <v>0</v>
      </c>
      <c r="Y14" t="n">
        <v>0</v>
      </c>
      <c r="Z14" t="n">
        <v>1</v>
      </c>
      <c r="AA14" t="n">
        <v>0</v>
      </c>
      <c r="AB14" t="n">
        <v>0</v>
      </c>
    </row>
    <row r="15">
      <c r="A15" t="n">
        <v>14</v>
      </c>
      <c r="B15" t="n">
        <v>1</v>
      </c>
      <c r="C15" t="n">
        <v>2</v>
      </c>
      <c r="D15" t="n">
        <v>2</v>
      </c>
      <c r="E15" t="n">
        <v>1</v>
      </c>
      <c r="F15" t="n">
        <v>2</v>
      </c>
      <c r="G15" t="n">
        <v>2</v>
      </c>
      <c r="H15" t="n">
        <v>21</v>
      </c>
      <c r="I15" t="n">
        <v>5</v>
      </c>
      <c r="J15" t="n">
        <v>3</v>
      </c>
      <c r="K15" t="n">
        <v>1</v>
      </c>
      <c r="L15" t="n">
        <v>2</v>
      </c>
      <c r="M15" t="n">
        <v>5</v>
      </c>
      <c r="N15" t="n">
        <v>6</v>
      </c>
      <c r="O15" t="n">
        <v>4</v>
      </c>
      <c r="P15" t="n">
        <v>2</v>
      </c>
      <c r="Q15" t="n">
        <v>4</v>
      </c>
      <c r="R15" t="n">
        <v>7</v>
      </c>
      <c r="S15" t="n">
        <v>4</v>
      </c>
      <c r="T15" t="n">
        <v>2</v>
      </c>
      <c r="U15" t="n">
        <v>4</v>
      </c>
      <c r="V15" t="n">
        <v>3</v>
      </c>
      <c r="W15" t="n">
        <v>2</v>
      </c>
      <c r="X15" t="n">
        <v>1</v>
      </c>
      <c r="Y15" t="n">
        <v>0</v>
      </c>
      <c r="Z15" t="n">
        <v>0</v>
      </c>
      <c r="AA15" t="n">
        <v>1</v>
      </c>
      <c r="AB15" t="n">
        <v>0</v>
      </c>
    </row>
    <row r="16">
      <c r="A16" t="n">
        <v>15</v>
      </c>
      <c r="B16" t="n">
        <v>1</v>
      </c>
      <c r="C16" t="n">
        <v>1</v>
      </c>
      <c r="D16" t="n">
        <v>4</v>
      </c>
      <c r="E16" t="n">
        <v>1</v>
      </c>
      <c r="F16" t="n">
        <v>2</v>
      </c>
      <c r="G16" t="n">
        <v>1</v>
      </c>
      <c r="H16" t="n">
        <v>24</v>
      </c>
      <c r="I16" t="n">
        <v>3</v>
      </c>
      <c r="J16" t="n">
        <v>1</v>
      </c>
      <c r="K16" t="n">
        <v>7</v>
      </c>
      <c r="L16" t="n">
        <v>4</v>
      </c>
      <c r="M16" t="n">
        <v>2</v>
      </c>
      <c r="N16" t="n">
        <v>1</v>
      </c>
      <c r="O16" t="n">
        <v>2</v>
      </c>
      <c r="P16" t="n">
        <v>1</v>
      </c>
      <c r="Q16" t="n">
        <v>3</v>
      </c>
      <c r="R16" t="n">
        <v>1</v>
      </c>
      <c r="S16" t="n">
        <v>4</v>
      </c>
      <c r="T16" t="n">
        <v>1</v>
      </c>
      <c r="U16" t="n">
        <v>2</v>
      </c>
      <c r="V16" t="n">
        <v>3</v>
      </c>
      <c r="W16" t="n">
        <v>4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</row>
    <row r="17">
      <c r="A17" t="n">
        <v>16</v>
      </c>
      <c r="B17" t="n">
        <v>1</v>
      </c>
      <c r="C17" t="n">
        <v>1</v>
      </c>
      <c r="D17" t="n">
        <v>4</v>
      </c>
      <c r="E17" t="n">
        <v>1</v>
      </c>
      <c r="F17" t="n">
        <v>2</v>
      </c>
      <c r="G17" t="n">
        <v>2</v>
      </c>
      <c r="H17" t="n">
        <v>13</v>
      </c>
      <c r="I17" t="n">
        <v>4</v>
      </c>
      <c r="J17" t="n">
        <v>5</v>
      </c>
      <c r="K17" t="n">
        <v>4</v>
      </c>
      <c r="L17" t="n">
        <v>2</v>
      </c>
      <c r="M17" t="n">
        <v>4</v>
      </c>
      <c r="N17" t="n">
        <v>3</v>
      </c>
      <c r="O17" t="n">
        <v>2</v>
      </c>
      <c r="P17" t="n">
        <v>6</v>
      </c>
      <c r="Q17" t="n">
        <v>1</v>
      </c>
      <c r="R17" t="n">
        <v>4</v>
      </c>
      <c r="S17" t="n">
        <v>2</v>
      </c>
      <c r="T17" t="n">
        <v>3</v>
      </c>
      <c r="U17" t="n">
        <v>3</v>
      </c>
      <c r="V17" t="n">
        <v>1</v>
      </c>
      <c r="W17" t="n">
        <v>3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17</v>
      </c>
      <c r="B18" t="n">
        <v>1</v>
      </c>
      <c r="C18" t="n">
        <v>1</v>
      </c>
      <c r="D18" t="n">
        <v>3</v>
      </c>
      <c r="E18" t="n">
        <v>2</v>
      </c>
      <c r="F18" t="n">
        <v>1</v>
      </c>
      <c r="G18" t="n">
        <v>1</v>
      </c>
      <c r="H18" t="n">
        <v>20</v>
      </c>
      <c r="I18" t="n">
        <v>3</v>
      </c>
      <c r="J18" t="n">
        <v>6</v>
      </c>
      <c r="K18" t="n">
        <v>7</v>
      </c>
      <c r="L18" t="n">
        <v>3</v>
      </c>
      <c r="M18" t="n">
        <v>3</v>
      </c>
      <c r="N18" t="n">
        <v>5</v>
      </c>
      <c r="O18" t="n">
        <v>4</v>
      </c>
      <c r="P18" t="n">
        <v>3</v>
      </c>
      <c r="Q18" t="n">
        <v>4</v>
      </c>
      <c r="R18" t="n">
        <v>4</v>
      </c>
      <c r="S18" t="n">
        <v>1</v>
      </c>
      <c r="T18" t="n">
        <v>4</v>
      </c>
      <c r="U18" t="n">
        <v>2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</row>
    <row r="19">
      <c r="A19" t="n">
        <v>18</v>
      </c>
      <c r="B19" t="n">
        <v>1</v>
      </c>
      <c r="C19" t="n">
        <v>2</v>
      </c>
      <c r="D19" t="n">
        <v>2</v>
      </c>
      <c r="E19" t="n">
        <v>3</v>
      </c>
      <c r="F19" t="n">
        <v>1</v>
      </c>
      <c r="G19" t="n">
        <v>1</v>
      </c>
      <c r="H19" t="n">
        <v>39</v>
      </c>
      <c r="I19" t="n">
        <v>1</v>
      </c>
      <c r="J19" t="n">
        <v>6</v>
      </c>
      <c r="K19" t="n">
        <v>4</v>
      </c>
      <c r="L19" t="n">
        <v>3</v>
      </c>
      <c r="M19" t="n">
        <v>5</v>
      </c>
      <c r="N19" t="n">
        <v>2</v>
      </c>
      <c r="O19" t="n">
        <v>1</v>
      </c>
      <c r="P19" t="n">
        <v>2</v>
      </c>
      <c r="Q19" t="n">
        <v>5</v>
      </c>
      <c r="R19" t="n">
        <v>2</v>
      </c>
      <c r="S19" t="n">
        <v>3</v>
      </c>
      <c r="T19" t="n">
        <v>3</v>
      </c>
      <c r="U19" t="n">
        <v>4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0</v>
      </c>
    </row>
    <row r="20">
      <c r="A20" t="n">
        <v>19</v>
      </c>
      <c r="B20" t="n">
        <v>1</v>
      </c>
      <c r="C20" t="n">
        <v>1</v>
      </c>
      <c r="D20" t="n">
        <v>4</v>
      </c>
      <c r="E20" t="n">
        <v>2</v>
      </c>
      <c r="F20" t="n">
        <v>2</v>
      </c>
      <c r="G20" t="n">
        <v>3</v>
      </c>
      <c r="H20" t="n">
        <v>20</v>
      </c>
      <c r="I20" t="n">
        <v>3</v>
      </c>
      <c r="J20" t="n">
        <v>4</v>
      </c>
      <c r="K20" t="n">
        <v>3</v>
      </c>
      <c r="L20" t="n">
        <v>4</v>
      </c>
      <c r="M20" t="n">
        <v>1</v>
      </c>
      <c r="N20" t="n">
        <v>4</v>
      </c>
      <c r="O20" t="n">
        <v>2</v>
      </c>
      <c r="P20" t="n">
        <v>6</v>
      </c>
      <c r="Q20" t="n">
        <v>2</v>
      </c>
      <c r="R20" t="n">
        <v>6</v>
      </c>
      <c r="S20" t="n">
        <v>2</v>
      </c>
      <c r="T20" t="n">
        <v>2</v>
      </c>
      <c r="U20" t="n">
        <v>3</v>
      </c>
      <c r="V20" t="n">
        <v>2</v>
      </c>
      <c r="W20" t="n">
        <v>1</v>
      </c>
      <c r="X20" t="n">
        <v>1</v>
      </c>
      <c r="Y20" t="n">
        <v>1</v>
      </c>
      <c r="Z20" t="n">
        <v>0</v>
      </c>
      <c r="AA20" t="n">
        <v>1</v>
      </c>
      <c r="AB20" t="n">
        <v>0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3</v>
      </c>
      <c r="F21" t="n">
        <v>2</v>
      </c>
      <c r="G21" t="n">
        <v>3</v>
      </c>
      <c r="H21" t="n">
        <v>8</v>
      </c>
      <c r="I21" t="n">
        <v>4</v>
      </c>
      <c r="J21" t="n">
        <v>5</v>
      </c>
      <c r="K21" t="n">
        <v>3</v>
      </c>
      <c r="L21" t="n">
        <v>4</v>
      </c>
      <c r="M21" t="n">
        <v>1</v>
      </c>
      <c r="N21" t="n">
        <v>1</v>
      </c>
      <c r="O21" t="n">
        <v>5</v>
      </c>
      <c r="P21" t="n">
        <v>6</v>
      </c>
      <c r="Q21" t="n">
        <v>3</v>
      </c>
      <c r="R21" t="n">
        <v>4</v>
      </c>
      <c r="S21" t="n">
        <v>3</v>
      </c>
      <c r="T21" t="n">
        <v>1</v>
      </c>
      <c r="U21" t="n">
        <v>2</v>
      </c>
      <c r="V21" t="n">
        <v>4</v>
      </c>
      <c r="W21" t="n">
        <v>4</v>
      </c>
      <c r="X21" t="n">
        <v>0</v>
      </c>
      <c r="Y21" t="n">
        <v>0</v>
      </c>
      <c r="Z21" t="n">
        <v>1</v>
      </c>
      <c r="AA21" t="n">
        <v>1</v>
      </c>
      <c r="AB21" t="n">
        <v>0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2</v>
      </c>
      <c r="F22" t="n">
        <v>1</v>
      </c>
      <c r="G22" t="n">
        <v>3</v>
      </c>
      <c r="H22" t="n">
        <v>37</v>
      </c>
      <c r="I22" t="n">
        <v>1</v>
      </c>
      <c r="J22" t="n">
        <v>6</v>
      </c>
      <c r="K22" t="n">
        <v>5</v>
      </c>
      <c r="L22" t="n">
        <v>4</v>
      </c>
      <c r="M22" t="n">
        <v>3</v>
      </c>
      <c r="N22" t="n">
        <v>5</v>
      </c>
      <c r="O22" t="n">
        <v>4</v>
      </c>
      <c r="P22" t="n">
        <v>6</v>
      </c>
      <c r="Q22" t="n">
        <v>5</v>
      </c>
      <c r="R22" t="n">
        <v>3</v>
      </c>
      <c r="S22" t="n">
        <v>2</v>
      </c>
      <c r="T22" t="n">
        <v>3</v>
      </c>
      <c r="U22" t="n">
        <v>3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</row>
    <row r="23">
      <c r="A23" t="n">
        <v>22</v>
      </c>
      <c r="B23" t="n">
        <v>1</v>
      </c>
      <c r="C23" t="n">
        <v>2</v>
      </c>
      <c r="D23" t="n">
        <v>4</v>
      </c>
      <c r="E23" t="n">
        <v>1</v>
      </c>
      <c r="F23" t="n">
        <v>1</v>
      </c>
      <c r="G23" t="n">
        <v>3</v>
      </c>
      <c r="H23" t="n">
        <v>48</v>
      </c>
      <c r="I23" t="n">
        <v>4</v>
      </c>
      <c r="J23" t="n">
        <v>1</v>
      </c>
      <c r="K23" t="n">
        <v>1</v>
      </c>
      <c r="L23" t="n">
        <v>5</v>
      </c>
      <c r="M23" t="n">
        <v>1</v>
      </c>
      <c r="N23" t="n">
        <v>3</v>
      </c>
      <c r="O23" t="n">
        <v>1</v>
      </c>
      <c r="P23" t="n">
        <v>3</v>
      </c>
      <c r="Q23" t="n">
        <v>2</v>
      </c>
      <c r="R23" t="n">
        <v>6</v>
      </c>
      <c r="S23" t="n">
        <v>4</v>
      </c>
      <c r="T23" t="n">
        <v>1</v>
      </c>
      <c r="U23" t="n">
        <v>2</v>
      </c>
      <c r="V23" t="n">
        <v>1</v>
      </c>
      <c r="W23" t="n">
        <v>2</v>
      </c>
      <c r="X23" t="n">
        <v>1</v>
      </c>
      <c r="Y23" t="n">
        <v>0</v>
      </c>
      <c r="Z23" t="n">
        <v>1</v>
      </c>
      <c r="AA23" t="n">
        <v>1</v>
      </c>
      <c r="AB23" t="n">
        <v>0</v>
      </c>
    </row>
    <row r="24">
      <c r="A24" t="n">
        <v>23</v>
      </c>
      <c r="B24" t="n">
        <v>1</v>
      </c>
      <c r="C24" t="n">
        <v>2</v>
      </c>
      <c r="D24" t="n">
        <v>3</v>
      </c>
      <c r="E24" t="n">
        <v>1</v>
      </c>
      <c r="F24" t="n">
        <v>2</v>
      </c>
      <c r="G24" t="n">
        <v>1</v>
      </c>
      <c r="H24" t="n">
        <v>26</v>
      </c>
      <c r="I24" t="n">
        <v>3</v>
      </c>
      <c r="J24" t="n">
        <v>5</v>
      </c>
      <c r="K24" t="n">
        <v>7</v>
      </c>
      <c r="L24" t="n">
        <v>5</v>
      </c>
      <c r="M24" t="n">
        <v>4</v>
      </c>
      <c r="N24" t="n">
        <v>4</v>
      </c>
      <c r="O24" t="n">
        <v>2</v>
      </c>
      <c r="P24" t="n">
        <v>2</v>
      </c>
      <c r="Q24" t="n">
        <v>5</v>
      </c>
      <c r="R24" t="n">
        <v>5</v>
      </c>
      <c r="S24" t="n">
        <v>4</v>
      </c>
      <c r="T24" t="n">
        <v>4</v>
      </c>
      <c r="U24" t="n">
        <v>1</v>
      </c>
      <c r="V24" t="n">
        <v>2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24</v>
      </c>
      <c r="B25" t="n">
        <v>1</v>
      </c>
      <c r="C25" t="n">
        <v>2</v>
      </c>
      <c r="D25" t="n">
        <v>4</v>
      </c>
      <c r="E25" t="n">
        <v>3</v>
      </c>
      <c r="F25" t="n">
        <v>2</v>
      </c>
      <c r="G25" t="n">
        <v>2</v>
      </c>
      <c r="H25" t="n">
        <v>17</v>
      </c>
      <c r="I25" t="n">
        <v>4</v>
      </c>
      <c r="J25" t="n">
        <v>3</v>
      </c>
      <c r="K25" t="n">
        <v>7</v>
      </c>
      <c r="L25" t="n">
        <v>2</v>
      </c>
      <c r="M25" t="n">
        <v>4</v>
      </c>
      <c r="N25" t="n">
        <v>3</v>
      </c>
      <c r="O25" t="n">
        <v>5</v>
      </c>
      <c r="P25" t="n">
        <v>5</v>
      </c>
      <c r="Q25" t="n">
        <v>3</v>
      </c>
      <c r="R25" t="n">
        <v>4</v>
      </c>
      <c r="S25" t="n">
        <v>1</v>
      </c>
      <c r="T25" t="n">
        <v>1</v>
      </c>
      <c r="U25" t="n">
        <v>4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25</v>
      </c>
      <c r="B26" t="n">
        <v>1</v>
      </c>
      <c r="C26" t="n">
        <v>1</v>
      </c>
      <c r="D26" t="n">
        <v>4</v>
      </c>
      <c r="E26" t="n">
        <v>1</v>
      </c>
      <c r="F26" t="n">
        <v>2</v>
      </c>
      <c r="G26" t="n">
        <v>3</v>
      </c>
      <c r="H26" t="n">
        <v>11</v>
      </c>
      <c r="I26" t="n">
        <v>4</v>
      </c>
      <c r="J26" t="n">
        <v>1</v>
      </c>
      <c r="K26" t="n">
        <v>3</v>
      </c>
      <c r="L26" t="n">
        <v>1</v>
      </c>
      <c r="M26" t="n">
        <v>2</v>
      </c>
      <c r="N26" t="n">
        <v>6</v>
      </c>
      <c r="O26" t="n">
        <v>5</v>
      </c>
      <c r="P26" t="n">
        <v>5</v>
      </c>
      <c r="Q26" t="n">
        <v>1</v>
      </c>
      <c r="R26" t="n">
        <v>7</v>
      </c>
      <c r="S26" t="n">
        <v>4</v>
      </c>
      <c r="T26" t="n">
        <v>2</v>
      </c>
      <c r="U26" t="n">
        <v>4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1</v>
      </c>
      <c r="AB26" t="n">
        <v>0</v>
      </c>
    </row>
    <row r="27">
      <c r="A27" t="n">
        <v>26</v>
      </c>
      <c r="B27" t="n">
        <v>1</v>
      </c>
      <c r="C27" t="n">
        <v>2</v>
      </c>
      <c r="D27" t="n">
        <v>3</v>
      </c>
      <c r="E27" t="n">
        <v>1</v>
      </c>
      <c r="F27" t="n">
        <v>2</v>
      </c>
      <c r="G27" t="n">
        <v>3</v>
      </c>
      <c r="H27" t="n">
        <v>9</v>
      </c>
      <c r="I27" t="n">
        <v>4</v>
      </c>
      <c r="J27" t="n">
        <v>1</v>
      </c>
      <c r="K27" t="n">
        <v>2</v>
      </c>
      <c r="L27" t="n">
        <v>1</v>
      </c>
      <c r="M27" t="n">
        <v>6</v>
      </c>
      <c r="N27" t="n">
        <v>1</v>
      </c>
      <c r="O27" t="n">
        <v>4</v>
      </c>
      <c r="P27" t="n">
        <v>6</v>
      </c>
      <c r="Q27" t="n">
        <v>3</v>
      </c>
      <c r="R27" t="n">
        <v>1</v>
      </c>
      <c r="S27" t="n">
        <v>3</v>
      </c>
      <c r="T27" t="n">
        <v>1</v>
      </c>
      <c r="U27" t="n">
        <v>4</v>
      </c>
      <c r="V27" t="n">
        <v>2</v>
      </c>
      <c r="W27" t="n">
        <v>4</v>
      </c>
      <c r="X27" t="n">
        <v>0</v>
      </c>
      <c r="Y27" t="n">
        <v>0</v>
      </c>
      <c r="Z27" t="n">
        <v>0</v>
      </c>
      <c r="AA27" t="n">
        <v>1</v>
      </c>
      <c r="AB27" t="n">
        <v>0</v>
      </c>
    </row>
    <row r="28">
      <c r="A28" t="n">
        <v>27</v>
      </c>
      <c r="B28" t="n">
        <v>1</v>
      </c>
      <c r="C28" t="n">
        <v>1</v>
      </c>
      <c r="D28" t="n">
        <v>4</v>
      </c>
      <c r="E28" t="n">
        <v>2</v>
      </c>
      <c r="F28" t="n">
        <v>2</v>
      </c>
      <c r="G28" t="n">
        <v>2</v>
      </c>
      <c r="H28" t="n">
        <v>27</v>
      </c>
      <c r="I28" t="n">
        <v>1</v>
      </c>
      <c r="J28" t="n">
        <v>3</v>
      </c>
      <c r="K28" t="n">
        <v>2</v>
      </c>
      <c r="L28" t="n">
        <v>5</v>
      </c>
      <c r="M28" t="n">
        <v>2</v>
      </c>
      <c r="N28" t="n">
        <v>3</v>
      </c>
      <c r="O28" t="n">
        <v>4</v>
      </c>
      <c r="P28" t="n">
        <v>2</v>
      </c>
      <c r="Q28" t="n">
        <v>5</v>
      </c>
      <c r="R28" t="n">
        <v>4</v>
      </c>
      <c r="S28" t="n">
        <v>4</v>
      </c>
      <c r="T28" t="n">
        <v>2</v>
      </c>
      <c r="U28" t="n">
        <v>2</v>
      </c>
      <c r="V28" t="n">
        <v>3</v>
      </c>
      <c r="W28" t="n">
        <v>3</v>
      </c>
      <c r="X28" t="n">
        <v>0</v>
      </c>
      <c r="Y28" t="n">
        <v>0</v>
      </c>
      <c r="Z28" t="n">
        <v>0</v>
      </c>
      <c r="AA28" t="n">
        <v>1</v>
      </c>
      <c r="AB28" t="n">
        <v>0</v>
      </c>
    </row>
    <row r="29">
      <c r="A29" t="n">
        <v>28</v>
      </c>
      <c r="B29" t="n">
        <v>1</v>
      </c>
      <c r="C29" t="n">
        <v>1</v>
      </c>
      <c r="D29" t="n">
        <v>2</v>
      </c>
      <c r="E29" t="n">
        <v>2</v>
      </c>
      <c r="F29" t="n">
        <v>1</v>
      </c>
      <c r="G29" t="n">
        <v>2</v>
      </c>
      <c r="H29" t="n">
        <v>3</v>
      </c>
      <c r="I29" t="n">
        <v>1</v>
      </c>
      <c r="J29" t="n">
        <v>5</v>
      </c>
      <c r="K29" t="n">
        <v>5</v>
      </c>
      <c r="L29" t="n">
        <v>4</v>
      </c>
      <c r="M29" t="n">
        <v>5</v>
      </c>
      <c r="N29" t="n">
        <v>3</v>
      </c>
      <c r="O29" t="n">
        <v>5</v>
      </c>
      <c r="P29" t="n">
        <v>7</v>
      </c>
      <c r="Q29" t="n">
        <v>2</v>
      </c>
      <c r="R29" t="n">
        <v>2</v>
      </c>
      <c r="S29" t="n">
        <v>3</v>
      </c>
      <c r="T29" t="n">
        <v>2</v>
      </c>
      <c r="U29" t="n">
        <v>1</v>
      </c>
      <c r="V29" t="n">
        <v>2</v>
      </c>
      <c r="W29" t="n">
        <v>3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</row>
    <row r="30">
      <c r="A30" t="n">
        <v>29</v>
      </c>
      <c r="B30" t="n">
        <v>1</v>
      </c>
      <c r="C30" t="n">
        <v>2</v>
      </c>
      <c r="D30" t="n">
        <v>1</v>
      </c>
      <c r="E30" t="n">
        <v>1</v>
      </c>
      <c r="F30" t="n">
        <v>1</v>
      </c>
      <c r="G30" t="n">
        <v>1</v>
      </c>
      <c r="H30" t="n">
        <v>7</v>
      </c>
      <c r="I30" t="n">
        <v>3</v>
      </c>
      <c r="J30" t="n">
        <v>2</v>
      </c>
      <c r="K30" t="n">
        <v>4</v>
      </c>
      <c r="L30" t="n">
        <v>1</v>
      </c>
      <c r="M30" t="n">
        <v>2</v>
      </c>
      <c r="N30" t="n">
        <v>4</v>
      </c>
      <c r="O30" t="n">
        <v>4</v>
      </c>
      <c r="P30" t="n">
        <v>7</v>
      </c>
      <c r="Q30" t="n">
        <v>5</v>
      </c>
      <c r="R30" t="n">
        <v>6</v>
      </c>
      <c r="S30" t="n">
        <v>4</v>
      </c>
      <c r="T30" t="n">
        <v>1</v>
      </c>
      <c r="U30" t="n">
        <v>2</v>
      </c>
      <c r="V30" t="n">
        <v>2</v>
      </c>
      <c r="W30" t="n">
        <v>4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</row>
    <row r="31">
      <c r="A31" t="n">
        <v>30</v>
      </c>
      <c r="B31" t="n">
        <v>1</v>
      </c>
      <c r="C31" t="n">
        <v>2</v>
      </c>
      <c r="D31" t="n">
        <v>1</v>
      </c>
      <c r="E31" t="n">
        <v>3</v>
      </c>
      <c r="F31" t="n">
        <v>1</v>
      </c>
      <c r="G31" t="n">
        <v>2</v>
      </c>
      <c r="H31" t="n">
        <v>34</v>
      </c>
      <c r="I31" t="n">
        <v>4</v>
      </c>
      <c r="J31" t="n">
        <v>1</v>
      </c>
      <c r="K31" t="n">
        <v>1</v>
      </c>
      <c r="L31" t="n">
        <v>3</v>
      </c>
      <c r="M31" t="n">
        <v>2</v>
      </c>
      <c r="N31" t="n">
        <v>1</v>
      </c>
      <c r="O31" t="n">
        <v>3</v>
      </c>
      <c r="P31" t="n">
        <v>5</v>
      </c>
      <c r="Q31" t="n">
        <v>4</v>
      </c>
      <c r="R31" t="n">
        <v>1</v>
      </c>
      <c r="S31" t="n">
        <v>2</v>
      </c>
      <c r="T31" t="n">
        <v>2</v>
      </c>
      <c r="U31" t="n">
        <v>4</v>
      </c>
      <c r="V31" t="n">
        <v>2</v>
      </c>
      <c r="W31" t="n">
        <v>3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</row>
    <row r="32">
      <c r="A32" t="n">
        <v>31</v>
      </c>
      <c r="B32" t="n">
        <v>1</v>
      </c>
      <c r="C32" t="n">
        <v>2</v>
      </c>
      <c r="D32" t="n">
        <v>4</v>
      </c>
      <c r="E32" t="n">
        <v>1</v>
      </c>
      <c r="F32" t="n">
        <v>1</v>
      </c>
      <c r="G32" t="n">
        <v>3</v>
      </c>
      <c r="H32" t="n">
        <v>43</v>
      </c>
      <c r="I32" t="n">
        <v>2</v>
      </c>
      <c r="J32" t="n">
        <v>2</v>
      </c>
      <c r="K32" t="n">
        <v>1</v>
      </c>
      <c r="L32" t="n">
        <v>1</v>
      </c>
      <c r="M32" t="n">
        <v>5</v>
      </c>
      <c r="N32" t="n">
        <v>5</v>
      </c>
      <c r="O32" t="n">
        <v>2</v>
      </c>
      <c r="P32" t="n">
        <v>7</v>
      </c>
      <c r="Q32" t="n">
        <v>1</v>
      </c>
      <c r="R32" t="n">
        <v>7</v>
      </c>
      <c r="S32" t="n">
        <v>4</v>
      </c>
      <c r="T32" t="n">
        <v>4</v>
      </c>
      <c r="U32" t="n">
        <v>1</v>
      </c>
      <c r="V32" t="n">
        <v>4</v>
      </c>
      <c r="W32" t="n">
        <v>2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32</v>
      </c>
      <c r="B33" t="n">
        <v>1</v>
      </c>
      <c r="C33" t="n">
        <v>1</v>
      </c>
      <c r="D33" t="n">
        <v>4</v>
      </c>
      <c r="E33" t="n">
        <v>3</v>
      </c>
      <c r="F33" t="n">
        <v>2</v>
      </c>
      <c r="G33" t="n">
        <v>2</v>
      </c>
      <c r="H33" t="n">
        <v>33</v>
      </c>
      <c r="I33" t="n">
        <v>4</v>
      </c>
      <c r="J33" t="n">
        <v>3</v>
      </c>
      <c r="K33" t="n">
        <v>5</v>
      </c>
      <c r="L33" t="n">
        <v>2</v>
      </c>
      <c r="M33" t="n">
        <v>4</v>
      </c>
      <c r="N33" t="n">
        <v>4</v>
      </c>
      <c r="O33" t="n">
        <v>4</v>
      </c>
      <c r="P33" t="n">
        <v>3</v>
      </c>
      <c r="Q33" t="n">
        <v>5</v>
      </c>
      <c r="R33" t="n">
        <v>7</v>
      </c>
      <c r="S33" t="n">
        <v>1</v>
      </c>
      <c r="T33" t="n">
        <v>3</v>
      </c>
      <c r="U33" t="n">
        <v>4</v>
      </c>
      <c r="V33" t="n">
        <v>3</v>
      </c>
      <c r="W33" t="n">
        <v>1</v>
      </c>
      <c r="X33" t="n">
        <v>0</v>
      </c>
      <c r="Y33" t="n">
        <v>0</v>
      </c>
      <c r="Z33" t="n">
        <v>1</v>
      </c>
      <c r="AA33" t="n">
        <v>0</v>
      </c>
      <c r="AB33" t="n">
        <v>0</v>
      </c>
    </row>
    <row r="34">
      <c r="A34" t="n">
        <v>33</v>
      </c>
      <c r="B34" t="n">
        <v>1</v>
      </c>
      <c r="C34" t="n">
        <v>1</v>
      </c>
      <c r="D34" t="n">
        <v>4</v>
      </c>
      <c r="E34" t="n">
        <v>3</v>
      </c>
      <c r="F34" t="n">
        <v>2</v>
      </c>
      <c r="G34" t="n">
        <v>1</v>
      </c>
      <c r="H34" t="n">
        <v>25</v>
      </c>
      <c r="I34" t="n">
        <v>2</v>
      </c>
      <c r="J34" t="n">
        <v>2</v>
      </c>
      <c r="K34" t="n">
        <v>3</v>
      </c>
      <c r="L34" t="n">
        <v>3</v>
      </c>
      <c r="M34" t="n">
        <v>6</v>
      </c>
      <c r="N34" t="n">
        <v>4</v>
      </c>
      <c r="O34" t="n">
        <v>3</v>
      </c>
      <c r="P34" t="n">
        <v>3</v>
      </c>
      <c r="Q34" t="n">
        <v>5</v>
      </c>
      <c r="R34" t="n">
        <v>5</v>
      </c>
      <c r="S34" t="n">
        <v>4</v>
      </c>
      <c r="T34" t="n">
        <v>1</v>
      </c>
      <c r="U34" t="n">
        <v>1</v>
      </c>
      <c r="V34" t="n">
        <v>1</v>
      </c>
      <c r="W34" t="n">
        <v>4</v>
      </c>
      <c r="X34" t="n">
        <v>0</v>
      </c>
      <c r="Y34" t="n">
        <v>0</v>
      </c>
      <c r="Z34" t="n">
        <v>0</v>
      </c>
      <c r="AA34" t="n">
        <v>1</v>
      </c>
      <c r="AB34" t="n">
        <v>0</v>
      </c>
    </row>
    <row r="35">
      <c r="A35" t="n">
        <v>34</v>
      </c>
      <c r="B35" t="n">
        <v>1</v>
      </c>
      <c r="C35" t="n">
        <v>2</v>
      </c>
      <c r="D35" t="n">
        <v>3</v>
      </c>
      <c r="E35" t="n">
        <v>2</v>
      </c>
      <c r="F35" t="n">
        <v>2</v>
      </c>
      <c r="G35" t="n">
        <v>3</v>
      </c>
      <c r="H35" t="n">
        <v>3</v>
      </c>
      <c r="I35" t="n">
        <v>3</v>
      </c>
      <c r="J35" t="n">
        <v>5</v>
      </c>
      <c r="K35" t="n">
        <v>3</v>
      </c>
      <c r="L35" t="n">
        <v>1</v>
      </c>
      <c r="M35" t="n">
        <v>2</v>
      </c>
      <c r="N35" t="n">
        <v>3</v>
      </c>
      <c r="O35" t="n">
        <v>5</v>
      </c>
      <c r="P35" t="n">
        <v>1</v>
      </c>
      <c r="Q35" t="n">
        <v>1</v>
      </c>
      <c r="R35" t="n">
        <v>4</v>
      </c>
      <c r="S35" t="n">
        <v>3</v>
      </c>
      <c r="T35" t="n">
        <v>4</v>
      </c>
      <c r="U35" t="n">
        <v>4</v>
      </c>
      <c r="V35" t="n">
        <v>3</v>
      </c>
      <c r="W35" t="n">
        <v>3</v>
      </c>
      <c r="X35" t="n">
        <v>0</v>
      </c>
      <c r="Y35" t="n">
        <v>0</v>
      </c>
      <c r="Z35" t="n">
        <v>1</v>
      </c>
      <c r="AA35" t="n">
        <v>0</v>
      </c>
      <c r="AB35" t="n">
        <v>1</v>
      </c>
    </row>
    <row r="36">
      <c r="A36" t="n">
        <v>35</v>
      </c>
      <c r="B36" t="n">
        <v>1</v>
      </c>
      <c r="C36" t="n">
        <v>1</v>
      </c>
      <c r="D36" t="n">
        <v>3</v>
      </c>
      <c r="E36" t="n">
        <v>3</v>
      </c>
      <c r="F36" t="n">
        <v>2</v>
      </c>
      <c r="G36" t="n">
        <v>3</v>
      </c>
      <c r="H36" t="n">
        <v>9</v>
      </c>
      <c r="I36" t="n">
        <v>5</v>
      </c>
      <c r="J36" t="n">
        <v>2</v>
      </c>
      <c r="K36" t="n">
        <v>3</v>
      </c>
      <c r="L36" t="n">
        <v>2</v>
      </c>
      <c r="M36" t="n">
        <v>6</v>
      </c>
      <c r="N36" t="n">
        <v>4</v>
      </c>
      <c r="O36" t="n">
        <v>4</v>
      </c>
      <c r="P36" t="n">
        <v>3</v>
      </c>
      <c r="Q36" t="n">
        <v>3</v>
      </c>
      <c r="R36" t="n">
        <v>2</v>
      </c>
      <c r="S36" t="n">
        <v>3</v>
      </c>
      <c r="T36" t="n">
        <v>3</v>
      </c>
      <c r="U36" t="n">
        <v>3</v>
      </c>
      <c r="V36" t="n">
        <v>2</v>
      </c>
      <c r="W36" t="n">
        <v>2</v>
      </c>
      <c r="X36" t="n">
        <v>1</v>
      </c>
      <c r="Y36" t="n">
        <v>0</v>
      </c>
      <c r="Z36" t="n">
        <v>0</v>
      </c>
      <c r="AA36" t="n">
        <v>1</v>
      </c>
      <c r="AB36" t="n">
        <v>1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2</v>
      </c>
      <c r="G37" t="n">
        <v>2</v>
      </c>
      <c r="H37" t="n">
        <v>6</v>
      </c>
      <c r="I37" t="n">
        <v>4</v>
      </c>
      <c r="J37" t="n">
        <v>2</v>
      </c>
      <c r="K37" t="n">
        <v>1</v>
      </c>
      <c r="L37" t="n">
        <v>1</v>
      </c>
      <c r="M37" t="n">
        <v>3</v>
      </c>
      <c r="N37" t="n">
        <v>3</v>
      </c>
      <c r="O37" t="n">
        <v>2</v>
      </c>
      <c r="P37" t="n">
        <v>5</v>
      </c>
      <c r="Q37" t="n">
        <v>5</v>
      </c>
      <c r="R37" t="n">
        <v>1</v>
      </c>
      <c r="S37" t="n">
        <v>3</v>
      </c>
      <c r="T37" t="n">
        <v>3</v>
      </c>
      <c r="U37" t="n">
        <v>1</v>
      </c>
      <c r="V37" t="n">
        <v>4</v>
      </c>
      <c r="W37" t="n">
        <v>3</v>
      </c>
      <c r="X37" t="n">
        <v>1</v>
      </c>
      <c r="Y37" t="n">
        <v>1</v>
      </c>
      <c r="Z37" t="n">
        <v>1</v>
      </c>
      <c r="AA37" t="n">
        <v>0</v>
      </c>
      <c r="AB37" t="n">
        <v>1</v>
      </c>
    </row>
    <row r="38">
      <c r="A38" t="n">
        <v>37</v>
      </c>
      <c r="B38" t="n">
        <v>1</v>
      </c>
      <c r="C38" t="n">
        <v>2</v>
      </c>
      <c r="D38" t="n">
        <v>4</v>
      </c>
      <c r="E38" t="n">
        <v>2</v>
      </c>
      <c r="F38" t="n">
        <v>2</v>
      </c>
      <c r="G38" t="n">
        <v>2</v>
      </c>
      <c r="H38" t="n">
        <v>4</v>
      </c>
      <c r="I38" t="n">
        <v>1</v>
      </c>
      <c r="J38" t="n">
        <v>5</v>
      </c>
      <c r="K38" t="n">
        <v>2</v>
      </c>
      <c r="L38" t="n">
        <v>5</v>
      </c>
      <c r="M38" t="n">
        <v>4</v>
      </c>
      <c r="N38" t="n">
        <v>6</v>
      </c>
      <c r="O38" t="n">
        <v>5</v>
      </c>
      <c r="P38" t="n">
        <v>2</v>
      </c>
      <c r="Q38" t="n">
        <v>5</v>
      </c>
      <c r="R38" t="n">
        <v>3</v>
      </c>
      <c r="S38" t="n">
        <v>1</v>
      </c>
      <c r="T38" t="n">
        <v>3</v>
      </c>
      <c r="U38" t="n">
        <v>1</v>
      </c>
      <c r="V38" t="n">
        <v>1</v>
      </c>
      <c r="W38" t="n">
        <v>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n">
        <v>38</v>
      </c>
      <c r="B39" t="n">
        <v>1</v>
      </c>
      <c r="C39" t="n">
        <v>2</v>
      </c>
      <c r="D39" t="n">
        <v>3</v>
      </c>
      <c r="E39" t="n">
        <v>1</v>
      </c>
      <c r="F39" t="n">
        <v>2</v>
      </c>
      <c r="G39" t="n">
        <v>1</v>
      </c>
      <c r="H39" t="n">
        <v>15</v>
      </c>
      <c r="I39" t="n">
        <v>3</v>
      </c>
      <c r="J39" t="n">
        <v>5</v>
      </c>
      <c r="K39" t="n">
        <v>3</v>
      </c>
      <c r="L39" t="n">
        <v>5</v>
      </c>
      <c r="M39" t="n">
        <v>7</v>
      </c>
      <c r="N39" t="n">
        <v>2</v>
      </c>
      <c r="O39" t="n">
        <v>3</v>
      </c>
      <c r="P39" t="n">
        <v>6</v>
      </c>
      <c r="Q39" t="n">
        <v>4</v>
      </c>
      <c r="R39" t="n">
        <v>4</v>
      </c>
      <c r="S39" t="n">
        <v>1</v>
      </c>
      <c r="T39" t="n">
        <v>1</v>
      </c>
      <c r="U39" t="n">
        <v>4</v>
      </c>
      <c r="V39" t="n">
        <v>1</v>
      </c>
      <c r="W39" t="n">
        <v>4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</row>
    <row r="40">
      <c r="A40" t="n">
        <v>39</v>
      </c>
      <c r="B40" t="n">
        <v>1</v>
      </c>
      <c r="C40" t="n">
        <v>1</v>
      </c>
      <c r="D40" t="n">
        <v>4</v>
      </c>
      <c r="E40" t="n">
        <v>1</v>
      </c>
      <c r="F40" t="n">
        <v>1</v>
      </c>
      <c r="G40" t="n">
        <v>3</v>
      </c>
      <c r="H40" t="n">
        <v>40</v>
      </c>
      <c r="I40" t="n">
        <v>4</v>
      </c>
      <c r="J40" t="n">
        <v>3</v>
      </c>
      <c r="K40" t="n">
        <v>7</v>
      </c>
      <c r="L40" t="n">
        <v>2</v>
      </c>
      <c r="M40" t="n">
        <v>6</v>
      </c>
      <c r="N40" t="n">
        <v>4</v>
      </c>
      <c r="O40" t="n">
        <v>4</v>
      </c>
      <c r="P40" t="n">
        <v>7</v>
      </c>
      <c r="Q40" t="n">
        <v>2</v>
      </c>
      <c r="R40" t="n">
        <v>6</v>
      </c>
      <c r="S40" t="n">
        <v>4</v>
      </c>
      <c r="T40" t="n">
        <v>1</v>
      </c>
      <c r="U40" t="n">
        <v>1</v>
      </c>
      <c r="V40" t="n">
        <v>3</v>
      </c>
      <c r="W40" t="n">
        <v>2</v>
      </c>
      <c r="X40" t="n">
        <v>1</v>
      </c>
      <c r="Y40" t="n">
        <v>1</v>
      </c>
      <c r="Z40" t="n">
        <v>0</v>
      </c>
      <c r="AA40" t="n">
        <v>1</v>
      </c>
      <c r="AB40" t="n">
        <v>0</v>
      </c>
    </row>
    <row r="41">
      <c r="A41" t="n">
        <v>40</v>
      </c>
      <c r="B41" t="n">
        <v>1</v>
      </c>
      <c r="C41" t="n">
        <v>1</v>
      </c>
      <c r="D41" t="n">
        <v>2</v>
      </c>
      <c r="E41" t="n">
        <v>2</v>
      </c>
      <c r="F41" t="n">
        <v>1</v>
      </c>
      <c r="G41" t="n">
        <v>1</v>
      </c>
      <c r="H41" t="n">
        <v>13</v>
      </c>
      <c r="I41" t="n">
        <v>1</v>
      </c>
      <c r="J41" t="n">
        <v>2</v>
      </c>
      <c r="K41" t="n">
        <v>3</v>
      </c>
      <c r="L41" t="n">
        <v>1</v>
      </c>
      <c r="M41" t="n">
        <v>7</v>
      </c>
      <c r="N41" t="n">
        <v>2</v>
      </c>
      <c r="O41" t="n">
        <v>4</v>
      </c>
      <c r="P41" t="n">
        <v>5</v>
      </c>
      <c r="Q41" t="n">
        <v>5</v>
      </c>
      <c r="R41" t="n">
        <v>6</v>
      </c>
      <c r="S41" t="n">
        <v>3</v>
      </c>
      <c r="T41" t="n">
        <v>2</v>
      </c>
      <c r="U41" t="n">
        <v>3</v>
      </c>
      <c r="V41" t="n">
        <v>3</v>
      </c>
      <c r="W41" t="n">
        <v>2</v>
      </c>
      <c r="X41" t="n">
        <v>1</v>
      </c>
      <c r="Y41" t="n">
        <v>0</v>
      </c>
      <c r="Z41" t="n">
        <v>1</v>
      </c>
      <c r="AA41" t="n">
        <v>0</v>
      </c>
      <c r="AB41" t="n">
        <v>0</v>
      </c>
    </row>
    <row r="42">
      <c r="A42" t="n">
        <v>41</v>
      </c>
      <c r="B42" t="n">
        <v>1</v>
      </c>
      <c r="C42" t="n">
        <v>2</v>
      </c>
      <c r="D42" t="n">
        <v>4</v>
      </c>
      <c r="E42" t="n">
        <v>2</v>
      </c>
      <c r="F42" t="n">
        <v>1</v>
      </c>
      <c r="G42" t="n">
        <v>3</v>
      </c>
      <c r="H42" t="n">
        <v>42</v>
      </c>
      <c r="I42" t="n">
        <v>4</v>
      </c>
      <c r="J42" t="n">
        <v>5</v>
      </c>
      <c r="K42" t="n">
        <v>7</v>
      </c>
      <c r="L42" t="n">
        <v>2</v>
      </c>
      <c r="M42" t="n">
        <v>6</v>
      </c>
      <c r="N42" t="n">
        <v>4</v>
      </c>
      <c r="O42" t="n">
        <v>5</v>
      </c>
      <c r="P42" t="n">
        <v>5</v>
      </c>
      <c r="Q42" t="n">
        <v>1</v>
      </c>
      <c r="R42" t="n">
        <v>3</v>
      </c>
      <c r="S42" t="n">
        <v>3</v>
      </c>
      <c r="T42" t="n">
        <v>2</v>
      </c>
      <c r="U42" t="n">
        <v>1</v>
      </c>
      <c r="V42" t="n">
        <v>2</v>
      </c>
      <c r="W42" t="n">
        <v>4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</row>
    <row r="43">
      <c r="A43" t="n">
        <v>42</v>
      </c>
      <c r="B43" t="n">
        <v>1</v>
      </c>
      <c r="C43" t="n">
        <v>2</v>
      </c>
      <c r="D43" t="n">
        <v>3</v>
      </c>
      <c r="E43" t="n">
        <v>3</v>
      </c>
      <c r="F43" t="n">
        <v>2</v>
      </c>
      <c r="G43" t="n">
        <v>3</v>
      </c>
      <c r="H43" t="n">
        <v>45</v>
      </c>
      <c r="I43" t="n">
        <v>3</v>
      </c>
      <c r="J43" t="n">
        <v>4</v>
      </c>
      <c r="K43" t="n">
        <v>2</v>
      </c>
      <c r="L43" t="n">
        <v>2</v>
      </c>
      <c r="M43" t="n">
        <v>1</v>
      </c>
      <c r="N43" t="n">
        <v>3</v>
      </c>
      <c r="O43" t="n">
        <v>1</v>
      </c>
      <c r="P43" t="n">
        <v>3</v>
      </c>
      <c r="Q43" t="n">
        <v>5</v>
      </c>
      <c r="R43" t="n">
        <v>5</v>
      </c>
      <c r="S43" t="n">
        <v>2</v>
      </c>
      <c r="T43" t="n">
        <v>4</v>
      </c>
      <c r="U43" t="n">
        <v>3</v>
      </c>
      <c r="V43" t="n">
        <v>3</v>
      </c>
      <c r="W43" t="n">
        <v>1</v>
      </c>
      <c r="X43" t="n">
        <v>0</v>
      </c>
      <c r="Y43" t="n">
        <v>1</v>
      </c>
      <c r="Z43" t="n">
        <v>1</v>
      </c>
      <c r="AA43" t="n">
        <v>1</v>
      </c>
      <c r="AB43" t="n">
        <v>0</v>
      </c>
    </row>
    <row r="44">
      <c r="A44" t="n">
        <v>43</v>
      </c>
      <c r="B44" t="n">
        <v>1</v>
      </c>
      <c r="C44" t="n">
        <v>1</v>
      </c>
      <c r="D44" t="n">
        <v>4</v>
      </c>
      <c r="E44" t="n">
        <v>3</v>
      </c>
      <c r="F44" t="n">
        <v>1</v>
      </c>
      <c r="G44" t="n">
        <v>1</v>
      </c>
      <c r="H44" t="n">
        <v>4</v>
      </c>
      <c r="I44" t="n">
        <v>1</v>
      </c>
      <c r="J44" t="n">
        <v>3</v>
      </c>
      <c r="K44" t="n">
        <v>7</v>
      </c>
      <c r="L44" t="n">
        <v>3</v>
      </c>
      <c r="M44" t="n">
        <v>4</v>
      </c>
      <c r="N44" t="n">
        <v>3</v>
      </c>
      <c r="O44" t="n">
        <v>3</v>
      </c>
      <c r="P44" t="n">
        <v>6</v>
      </c>
      <c r="Q44" t="n">
        <v>4</v>
      </c>
      <c r="R44" t="n">
        <v>2</v>
      </c>
      <c r="S44" t="n">
        <v>3</v>
      </c>
      <c r="T44" t="n">
        <v>1</v>
      </c>
      <c r="U44" t="n">
        <v>1</v>
      </c>
      <c r="V44" t="n">
        <v>4</v>
      </c>
      <c r="W44" t="n">
        <v>2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2</v>
      </c>
      <c r="F45" t="n">
        <v>2</v>
      </c>
      <c r="G45" t="n">
        <v>2</v>
      </c>
      <c r="H45" t="n">
        <v>6</v>
      </c>
      <c r="I45" t="n">
        <v>4</v>
      </c>
      <c r="J45" t="n">
        <v>3</v>
      </c>
      <c r="K45" t="n">
        <v>2</v>
      </c>
      <c r="L45" t="n">
        <v>5</v>
      </c>
      <c r="M45" t="n">
        <v>2</v>
      </c>
      <c r="N45" t="n">
        <v>6</v>
      </c>
      <c r="O45" t="n">
        <v>2</v>
      </c>
      <c r="P45" t="n">
        <v>4</v>
      </c>
      <c r="Q45" t="n">
        <v>1</v>
      </c>
      <c r="R45" t="n">
        <v>6</v>
      </c>
      <c r="S45" t="n">
        <v>3</v>
      </c>
      <c r="T45" t="n">
        <v>3</v>
      </c>
      <c r="U45" t="n">
        <v>1</v>
      </c>
      <c r="V45" t="n">
        <v>2</v>
      </c>
      <c r="W45" t="n">
        <v>1</v>
      </c>
      <c r="X45" t="n">
        <v>0</v>
      </c>
      <c r="Y45" t="n">
        <v>1</v>
      </c>
      <c r="Z45" t="n">
        <v>1</v>
      </c>
      <c r="AA45" t="n">
        <v>0</v>
      </c>
      <c r="AB45" t="n">
        <v>0</v>
      </c>
    </row>
    <row r="46">
      <c r="A46" t="n">
        <v>45</v>
      </c>
      <c r="B46" t="n">
        <v>1</v>
      </c>
      <c r="C46" t="n">
        <v>2</v>
      </c>
      <c r="D46" t="n">
        <v>4</v>
      </c>
      <c r="E46" t="n">
        <v>1</v>
      </c>
      <c r="F46" t="n">
        <v>2</v>
      </c>
      <c r="G46" t="n">
        <v>1</v>
      </c>
      <c r="H46" t="n">
        <v>45</v>
      </c>
      <c r="I46" t="n">
        <v>5</v>
      </c>
      <c r="J46" t="n">
        <v>2</v>
      </c>
      <c r="K46" t="n">
        <v>2</v>
      </c>
      <c r="L46" t="n">
        <v>2</v>
      </c>
      <c r="M46" t="n">
        <v>5</v>
      </c>
      <c r="N46" t="n">
        <v>2</v>
      </c>
      <c r="O46" t="n">
        <v>1</v>
      </c>
      <c r="P46" t="n">
        <v>7</v>
      </c>
      <c r="Q46" t="n">
        <v>4</v>
      </c>
      <c r="R46" t="n">
        <v>5</v>
      </c>
      <c r="S46" t="n">
        <v>1</v>
      </c>
      <c r="T46" t="n">
        <v>2</v>
      </c>
      <c r="U46" t="n">
        <v>2</v>
      </c>
      <c r="V46" t="n">
        <v>2</v>
      </c>
      <c r="W46" t="n">
        <v>4</v>
      </c>
      <c r="X46" t="n">
        <v>1</v>
      </c>
      <c r="Y46" t="n">
        <v>1</v>
      </c>
      <c r="Z46" t="n">
        <v>0</v>
      </c>
      <c r="AA46" t="n">
        <v>1</v>
      </c>
      <c r="AB46" t="n">
        <v>0</v>
      </c>
    </row>
    <row r="47">
      <c r="A47" t="n">
        <v>46</v>
      </c>
      <c r="B47" t="n">
        <v>1</v>
      </c>
      <c r="C47" t="n">
        <v>1</v>
      </c>
      <c r="D47" t="n">
        <v>2</v>
      </c>
      <c r="E47" t="n">
        <v>2</v>
      </c>
      <c r="F47" t="n">
        <v>1</v>
      </c>
      <c r="G47" t="n">
        <v>1</v>
      </c>
      <c r="H47" t="n">
        <v>23</v>
      </c>
      <c r="I47" t="n">
        <v>3</v>
      </c>
      <c r="J47" t="n">
        <v>6</v>
      </c>
      <c r="K47" t="n">
        <v>4</v>
      </c>
      <c r="L47" t="n">
        <v>4</v>
      </c>
      <c r="M47" t="n">
        <v>5</v>
      </c>
      <c r="N47" t="n">
        <v>2</v>
      </c>
      <c r="O47" t="n">
        <v>4</v>
      </c>
      <c r="P47" t="n">
        <v>5</v>
      </c>
      <c r="Q47" t="n">
        <v>1</v>
      </c>
      <c r="R47" t="n">
        <v>4</v>
      </c>
      <c r="S47" t="n">
        <v>1</v>
      </c>
      <c r="T47" t="n">
        <v>4</v>
      </c>
      <c r="U47" t="n">
        <v>4</v>
      </c>
      <c r="V47" t="n">
        <v>3</v>
      </c>
      <c r="W47" t="n">
        <v>2</v>
      </c>
      <c r="X47" t="n">
        <v>0</v>
      </c>
      <c r="Y47" t="n">
        <v>1</v>
      </c>
      <c r="Z47" t="n">
        <v>1</v>
      </c>
      <c r="AA47" t="n">
        <v>1</v>
      </c>
      <c r="AB47" t="n">
        <v>0</v>
      </c>
    </row>
    <row r="48">
      <c r="A48" t="n">
        <v>47</v>
      </c>
      <c r="B48" t="n">
        <v>1</v>
      </c>
      <c r="C48" t="n">
        <v>2</v>
      </c>
      <c r="D48" t="n">
        <v>1</v>
      </c>
      <c r="E48" t="n">
        <v>1</v>
      </c>
      <c r="F48" t="n">
        <v>1</v>
      </c>
      <c r="G48" t="n">
        <v>1</v>
      </c>
      <c r="H48" t="n">
        <v>40</v>
      </c>
      <c r="I48" t="n">
        <v>4</v>
      </c>
      <c r="J48" t="n">
        <v>2</v>
      </c>
      <c r="K48" t="n">
        <v>1</v>
      </c>
      <c r="L48" t="n">
        <v>4</v>
      </c>
      <c r="M48" t="n">
        <v>3</v>
      </c>
      <c r="N48" t="n">
        <v>3</v>
      </c>
      <c r="O48" t="n">
        <v>4</v>
      </c>
      <c r="P48" t="n">
        <v>2</v>
      </c>
      <c r="Q48" t="n">
        <v>1</v>
      </c>
      <c r="R48" t="n">
        <v>4</v>
      </c>
      <c r="S48" t="n">
        <v>4</v>
      </c>
      <c r="T48" t="n">
        <v>4</v>
      </c>
      <c r="U48" t="n">
        <v>4</v>
      </c>
      <c r="V48" t="n">
        <v>2</v>
      </c>
      <c r="W48" t="n">
        <v>3</v>
      </c>
      <c r="X48" t="n">
        <v>0</v>
      </c>
      <c r="Y48" t="n">
        <v>1</v>
      </c>
      <c r="Z48" t="n">
        <v>1</v>
      </c>
      <c r="AA48" t="n">
        <v>1</v>
      </c>
      <c r="AB48" t="n">
        <v>0</v>
      </c>
    </row>
    <row r="49">
      <c r="A49" t="n">
        <v>48</v>
      </c>
      <c r="B49" t="n">
        <v>1</v>
      </c>
      <c r="C49" t="n">
        <v>2</v>
      </c>
      <c r="D49" t="n">
        <v>1</v>
      </c>
      <c r="E49" t="n">
        <v>1</v>
      </c>
      <c r="F49" t="n">
        <v>2</v>
      </c>
      <c r="G49" t="n">
        <v>3</v>
      </c>
      <c r="H49" t="n">
        <v>28</v>
      </c>
      <c r="I49" t="n">
        <v>2</v>
      </c>
      <c r="J49" t="n">
        <v>5</v>
      </c>
      <c r="K49" t="n">
        <v>3</v>
      </c>
      <c r="L49" t="n">
        <v>5</v>
      </c>
      <c r="M49" t="n">
        <v>5</v>
      </c>
      <c r="N49" t="n">
        <v>2</v>
      </c>
      <c r="O49" t="n">
        <v>2</v>
      </c>
      <c r="P49" t="n">
        <v>3</v>
      </c>
      <c r="Q49" t="n">
        <v>4</v>
      </c>
      <c r="R49" t="n">
        <v>7</v>
      </c>
      <c r="S49" t="n">
        <v>4</v>
      </c>
      <c r="T49" t="n">
        <v>2</v>
      </c>
      <c r="U49" t="n">
        <v>3</v>
      </c>
      <c r="V49" t="n">
        <v>1</v>
      </c>
      <c r="W49" t="n">
        <v>4</v>
      </c>
      <c r="X49" t="n">
        <v>1</v>
      </c>
      <c r="Y49" t="n">
        <v>1</v>
      </c>
      <c r="Z49" t="n">
        <v>0</v>
      </c>
      <c r="AA49" t="n">
        <v>1</v>
      </c>
      <c r="AB49" t="n">
        <v>0</v>
      </c>
    </row>
    <row r="50">
      <c r="A50" t="n">
        <v>49</v>
      </c>
      <c r="B50" t="n">
        <v>1</v>
      </c>
      <c r="C50" t="n">
        <v>2</v>
      </c>
      <c r="D50" t="n">
        <v>4</v>
      </c>
      <c r="E50" t="n">
        <v>3</v>
      </c>
      <c r="F50" t="n">
        <v>1</v>
      </c>
      <c r="G50" t="n">
        <v>3</v>
      </c>
      <c r="H50" t="n">
        <v>47</v>
      </c>
      <c r="I50" t="n">
        <v>1</v>
      </c>
      <c r="J50" t="n">
        <v>5</v>
      </c>
      <c r="K50" t="n">
        <v>7</v>
      </c>
      <c r="L50" t="n">
        <v>4</v>
      </c>
      <c r="M50" t="n">
        <v>4</v>
      </c>
      <c r="N50" t="n">
        <v>4</v>
      </c>
      <c r="O50" t="n">
        <v>2</v>
      </c>
      <c r="P50" t="n">
        <v>3</v>
      </c>
      <c r="Q50" t="n">
        <v>1</v>
      </c>
      <c r="R50" t="n">
        <v>1</v>
      </c>
      <c r="S50" t="n">
        <v>3</v>
      </c>
      <c r="T50" t="n">
        <v>2</v>
      </c>
      <c r="U50" t="n">
        <v>1</v>
      </c>
      <c r="V50" t="n">
        <v>4</v>
      </c>
      <c r="W50" t="n">
        <v>4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</row>
    <row r="51">
      <c r="A51" t="n">
        <v>50</v>
      </c>
      <c r="B51" t="n">
        <v>1</v>
      </c>
      <c r="C51" t="n">
        <v>2</v>
      </c>
      <c r="D51" t="n">
        <v>4</v>
      </c>
      <c r="E51" t="n">
        <v>3</v>
      </c>
      <c r="F51" t="n">
        <v>1</v>
      </c>
      <c r="G51" t="n">
        <v>3</v>
      </c>
      <c r="H51" t="n">
        <v>40</v>
      </c>
      <c r="I51" t="n">
        <v>3</v>
      </c>
      <c r="J51" t="n">
        <v>6</v>
      </c>
      <c r="K51" t="n">
        <v>3</v>
      </c>
      <c r="L51" t="n">
        <v>4</v>
      </c>
      <c r="M51" t="n">
        <v>1</v>
      </c>
      <c r="N51" t="n">
        <v>3</v>
      </c>
      <c r="O51" t="n">
        <v>5</v>
      </c>
      <c r="P51" t="n">
        <v>7</v>
      </c>
      <c r="Q51" t="n">
        <v>4</v>
      </c>
      <c r="R51" t="n">
        <v>1</v>
      </c>
      <c r="S51" t="n">
        <v>4</v>
      </c>
      <c r="T51" t="n">
        <v>2</v>
      </c>
      <c r="U51" t="n">
        <v>1</v>
      </c>
      <c r="V51" t="n">
        <v>1</v>
      </c>
      <c r="W51" t="n">
        <v>3</v>
      </c>
      <c r="X51" t="n">
        <v>0</v>
      </c>
      <c r="Y51" t="n">
        <v>1</v>
      </c>
      <c r="Z51" t="n">
        <v>0</v>
      </c>
      <c r="AA51" t="n">
        <v>1</v>
      </c>
      <c r="AB51" t="n">
        <v>0</v>
      </c>
    </row>
    <row r="52">
      <c r="A52" t="n">
        <v>51</v>
      </c>
      <c r="B52" t="n">
        <v>2</v>
      </c>
      <c r="C52" t="n">
        <v>1</v>
      </c>
      <c r="D52" t="n">
        <v>1</v>
      </c>
      <c r="E52" t="n">
        <v>1</v>
      </c>
      <c r="F52" t="n">
        <v>2</v>
      </c>
      <c r="G52" t="n">
        <v>1</v>
      </c>
      <c r="H52" t="n">
        <v>32</v>
      </c>
      <c r="I52" t="n">
        <v>4</v>
      </c>
      <c r="J52" t="n">
        <v>2</v>
      </c>
      <c r="K52" t="n">
        <v>3</v>
      </c>
      <c r="L52" t="n">
        <v>5</v>
      </c>
      <c r="M52" t="n">
        <v>7</v>
      </c>
      <c r="N52" t="n">
        <v>5</v>
      </c>
      <c r="O52" t="n">
        <v>4</v>
      </c>
      <c r="P52" t="n">
        <v>4</v>
      </c>
      <c r="Q52" t="n">
        <v>2</v>
      </c>
      <c r="R52" t="n">
        <v>5</v>
      </c>
      <c r="S52" t="n">
        <v>4</v>
      </c>
      <c r="T52" t="n">
        <v>4</v>
      </c>
      <c r="U52" t="n">
        <v>4</v>
      </c>
      <c r="V52" t="n">
        <v>4</v>
      </c>
      <c r="W52" t="n">
        <v>1</v>
      </c>
      <c r="X52" t="n">
        <v>0</v>
      </c>
      <c r="Y52" t="n">
        <v>1</v>
      </c>
      <c r="Z52" t="n">
        <v>1</v>
      </c>
      <c r="AA52" t="n">
        <v>1</v>
      </c>
      <c r="AB52" t="n">
        <v>0</v>
      </c>
    </row>
    <row r="53">
      <c r="A53" t="n">
        <v>52</v>
      </c>
      <c r="B53" t="n">
        <v>2</v>
      </c>
      <c r="C53" t="n">
        <v>1</v>
      </c>
      <c r="D53" t="n">
        <v>1</v>
      </c>
      <c r="E53" t="n">
        <v>1</v>
      </c>
      <c r="F53" t="n">
        <v>1</v>
      </c>
      <c r="G53" t="n">
        <v>3</v>
      </c>
      <c r="H53" t="n">
        <v>30</v>
      </c>
      <c r="I53" t="n">
        <v>5</v>
      </c>
      <c r="J53" t="n">
        <v>1</v>
      </c>
      <c r="K53" t="n">
        <v>1</v>
      </c>
      <c r="L53" t="n">
        <v>1</v>
      </c>
      <c r="M53" t="n">
        <v>6</v>
      </c>
      <c r="N53" t="n">
        <v>3</v>
      </c>
      <c r="O53" t="n">
        <v>4</v>
      </c>
      <c r="P53" t="n">
        <v>1</v>
      </c>
      <c r="Q53" t="n">
        <v>5</v>
      </c>
      <c r="R53" t="n">
        <v>7</v>
      </c>
      <c r="S53" t="n">
        <v>1</v>
      </c>
      <c r="T53" t="n">
        <v>1</v>
      </c>
      <c r="U53" t="n">
        <v>3</v>
      </c>
      <c r="V53" t="n">
        <v>4</v>
      </c>
      <c r="W53" t="n">
        <v>4</v>
      </c>
      <c r="X53" t="n">
        <v>0</v>
      </c>
      <c r="Y53" t="n">
        <v>1</v>
      </c>
      <c r="Z53" t="n">
        <v>0</v>
      </c>
      <c r="AA53" t="n">
        <v>1</v>
      </c>
      <c r="AB53" t="n">
        <v>0</v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3</v>
      </c>
      <c r="F54" t="n">
        <v>2</v>
      </c>
      <c r="G54" t="n">
        <v>2</v>
      </c>
      <c r="H54" t="n">
        <v>31</v>
      </c>
      <c r="I54" t="n">
        <v>3</v>
      </c>
      <c r="J54" t="n">
        <v>6</v>
      </c>
      <c r="K54" t="n">
        <v>2</v>
      </c>
      <c r="L54" t="n">
        <v>3</v>
      </c>
      <c r="M54" t="n">
        <v>3</v>
      </c>
      <c r="N54" t="n">
        <v>6</v>
      </c>
      <c r="O54" t="n">
        <v>5</v>
      </c>
      <c r="P54" t="n">
        <v>7</v>
      </c>
      <c r="Q54" t="n">
        <v>3</v>
      </c>
      <c r="R54" t="n">
        <v>7</v>
      </c>
      <c r="S54" t="n">
        <v>2</v>
      </c>
      <c r="T54" t="n">
        <v>3</v>
      </c>
      <c r="U54" t="n">
        <v>4</v>
      </c>
      <c r="V54" t="n">
        <v>2</v>
      </c>
      <c r="W54" t="n">
        <v>1</v>
      </c>
      <c r="X54" t="n">
        <v>1</v>
      </c>
      <c r="Y54" t="n">
        <v>0</v>
      </c>
      <c r="Z54" t="n">
        <v>0</v>
      </c>
      <c r="AA54" t="n">
        <v>1</v>
      </c>
      <c r="AB54" t="n">
        <v>0</v>
      </c>
    </row>
    <row r="55">
      <c r="A55" t="n">
        <v>54</v>
      </c>
      <c r="B55" t="n">
        <v>2</v>
      </c>
      <c r="C55" t="n">
        <v>1</v>
      </c>
      <c r="D55" t="n">
        <v>1</v>
      </c>
      <c r="E55" t="n">
        <v>3</v>
      </c>
      <c r="F55" t="n">
        <v>2</v>
      </c>
      <c r="G55" t="n">
        <v>2</v>
      </c>
      <c r="H55" t="n">
        <v>12</v>
      </c>
      <c r="I55" t="n">
        <v>2</v>
      </c>
      <c r="J55" t="n">
        <v>4</v>
      </c>
      <c r="K55" t="n">
        <v>1</v>
      </c>
      <c r="L55" t="n">
        <v>1</v>
      </c>
      <c r="M55" t="n">
        <v>3</v>
      </c>
      <c r="N55" t="n">
        <v>5</v>
      </c>
      <c r="O55" t="n">
        <v>4</v>
      </c>
      <c r="P55" t="n">
        <v>7</v>
      </c>
      <c r="Q55" t="n">
        <v>3</v>
      </c>
      <c r="R55" t="n">
        <v>5</v>
      </c>
      <c r="S55" t="n">
        <v>1</v>
      </c>
      <c r="T55" t="n">
        <v>1</v>
      </c>
      <c r="U55" t="n">
        <v>4</v>
      </c>
      <c r="V55" t="n">
        <v>4</v>
      </c>
      <c r="W55" t="n">
        <v>3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55</v>
      </c>
      <c r="B56" t="n">
        <v>2</v>
      </c>
      <c r="C56" t="n">
        <v>1</v>
      </c>
      <c r="D56" t="n">
        <v>3</v>
      </c>
      <c r="E56" t="n">
        <v>3</v>
      </c>
      <c r="F56" t="n">
        <v>2</v>
      </c>
      <c r="G56" t="n">
        <v>3</v>
      </c>
      <c r="H56" t="n">
        <v>22</v>
      </c>
      <c r="I56" t="n">
        <v>2</v>
      </c>
      <c r="J56" t="n">
        <v>2</v>
      </c>
      <c r="K56" t="n">
        <v>3</v>
      </c>
      <c r="L56" t="n">
        <v>5</v>
      </c>
      <c r="M56" t="n">
        <v>3</v>
      </c>
      <c r="N56" t="n">
        <v>2</v>
      </c>
      <c r="O56" t="n">
        <v>3</v>
      </c>
      <c r="P56" t="n">
        <v>7</v>
      </c>
      <c r="Q56" t="n">
        <v>2</v>
      </c>
      <c r="R56" t="n">
        <v>5</v>
      </c>
      <c r="S56" t="n">
        <v>4</v>
      </c>
      <c r="T56" t="n">
        <v>1</v>
      </c>
      <c r="U56" t="n">
        <v>2</v>
      </c>
      <c r="V56" t="n">
        <v>2</v>
      </c>
      <c r="W56" t="n">
        <v>4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</row>
    <row r="57">
      <c r="A57" t="n">
        <v>56</v>
      </c>
      <c r="B57" t="n">
        <v>2</v>
      </c>
      <c r="C57" t="n">
        <v>1</v>
      </c>
      <c r="D57" t="n">
        <v>4</v>
      </c>
      <c r="E57" t="n">
        <v>1</v>
      </c>
      <c r="F57" t="n">
        <v>1</v>
      </c>
      <c r="G57" t="n">
        <v>1</v>
      </c>
      <c r="H57" t="n">
        <v>27</v>
      </c>
      <c r="I57" t="n">
        <v>2</v>
      </c>
      <c r="J57" t="n">
        <v>3</v>
      </c>
      <c r="K57" t="n">
        <v>2</v>
      </c>
      <c r="L57" t="n">
        <v>3</v>
      </c>
      <c r="M57" t="n">
        <v>3</v>
      </c>
      <c r="N57" t="n">
        <v>2</v>
      </c>
      <c r="O57" t="n">
        <v>2</v>
      </c>
      <c r="P57" t="n">
        <v>2</v>
      </c>
      <c r="Q57" t="n">
        <v>4</v>
      </c>
      <c r="R57" t="n">
        <v>7</v>
      </c>
      <c r="S57" t="n">
        <v>4</v>
      </c>
      <c r="T57" t="n">
        <v>1</v>
      </c>
      <c r="U57" t="n">
        <v>4</v>
      </c>
      <c r="V57" t="n">
        <v>2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</row>
    <row r="58">
      <c r="A58" t="n">
        <v>57</v>
      </c>
      <c r="B58" t="n">
        <v>2</v>
      </c>
      <c r="C58" t="n">
        <v>2</v>
      </c>
      <c r="D58" t="n">
        <v>1</v>
      </c>
      <c r="E58" t="n">
        <v>3</v>
      </c>
      <c r="F58" t="n">
        <v>2</v>
      </c>
      <c r="G58" t="n">
        <v>3</v>
      </c>
      <c r="H58" t="n">
        <v>45</v>
      </c>
      <c r="I58" t="n">
        <v>4</v>
      </c>
      <c r="J58" t="n">
        <v>3</v>
      </c>
      <c r="K58" t="n">
        <v>3</v>
      </c>
      <c r="L58" t="n">
        <v>3</v>
      </c>
      <c r="M58" t="n">
        <v>2</v>
      </c>
      <c r="N58" t="n">
        <v>4</v>
      </c>
      <c r="O58" t="n">
        <v>5</v>
      </c>
      <c r="P58" t="n">
        <v>4</v>
      </c>
      <c r="Q58" t="n">
        <v>1</v>
      </c>
      <c r="R58" t="n">
        <v>5</v>
      </c>
      <c r="S58" t="n">
        <v>3</v>
      </c>
      <c r="T58" t="n">
        <v>2</v>
      </c>
      <c r="U58" t="n">
        <v>3</v>
      </c>
      <c r="V58" t="n">
        <v>1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B58" t="n">
        <v>0</v>
      </c>
    </row>
    <row r="59">
      <c r="A59" t="n">
        <v>58</v>
      </c>
      <c r="B59" t="n">
        <v>2</v>
      </c>
      <c r="C59" t="n">
        <v>2</v>
      </c>
      <c r="D59" t="n">
        <v>1</v>
      </c>
      <c r="E59" t="n">
        <v>1</v>
      </c>
      <c r="F59" t="n">
        <v>2</v>
      </c>
      <c r="G59" t="n">
        <v>2</v>
      </c>
      <c r="H59" t="n">
        <v>27</v>
      </c>
      <c r="I59" t="n">
        <v>4</v>
      </c>
      <c r="J59" t="n">
        <v>5</v>
      </c>
      <c r="K59" t="n">
        <v>1</v>
      </c>
      <c r="L59" t="n">
        <v>1</v>
      </c>
      <c r="M59" t="n">
        <v>6</v>
      </c>
      <c r="N59" t="n">
        <v>3</v>
      </c>
      <c r="O59" t="n">
        <v>3</v>
      </c>
      <c r="P59" t="n">
        <v>6</v>
      </c>
      <c r="Q59" t="n">
        <v>1</v>
      </c>
      <c r="R59" t="n">
        <v>7</v>
      </c>
      <c r="S59" t="n">
        <v>3</v>
      </c>
      <c r="T59" t="n">
        <v>3</v>
      </c>
      <c r="U59" t="n">
        <v>3</v>
      </c>
      <c r="V59" t="n">
        <v>4</v>
      </c>
      <c r="W59" t="n">
        <v>2</v>
      </c>
      <c r="X59" t="n">
        <v>1</v>
      </c>
      <c r="Y59" t="n">
        <v>0</v>
      </c>
      <c r="Z59" t="n">
        <v>1</v>
      </c>
      <c r="AA59" t="n">
        <v>1</v>
      </c>
      <c r="AB59" t="n">
        <v>0</v>
      </c>
    </row>
    <row r="60">
      <c r="A60" t="n">
        <v>59</v>
      </c>
      <c r="B60" t="n">
        <v>2</v>
      </c>
      <c r="C60" t="n">
        <v>1</v>
      </c>
      <c r="D60" t="n">
        <v>2</v>
      </c>
      <c r="E60" t="n">
        <v>3</v>
      </c>
      <c r="F60" t="n">
        <v>1</v>
      </c>
      <c r="G60" t="n">
        <v>3</v>
      </c>
      <c r="H60" t="n">
        <v>33</v>
      </c>
      <c r="I60" t="n">
        <v>5</v>
      </c>
      <c r="J60" t="n">
        <v>5</v>
      </c>
      <c r="K60" t="n">
        <v>4</v>
      </c>
      <c r="L60" t="n">
        <v>1</v>
      </c>
      <c r="M60" t="n">
        <v>4</v>
      </c>
      <c r="N60" t="n">
        <v>2</v>
      </c>
      <c r="O60" t="n">
        <v>1</v>
      </c>
      <c r="P60" t="n">
        <v>1</v>
      </c>
      <c r="Q60" t="n">
        <v>1</v>
      </c>
      <c r="R60" t="n">
        <v>6</v>
      </c>
      <c r="S60" t="n">
        <v>2</v>
      </c>
      <c r="T60" t="n">
        <v>4</v>
      </c>
      <c r="U60" t="n">
        <v>4</v>
      </c>
      <c r="V60" t="n">
        <v>1</v>
      </c>
      <c r="W60" t="n">
        <v>3</v>
      </c>
      <c r="X60" t="n">
        <v>1</v>
      </c>
      <c r="Y60" t="n">
        <v>0</v>
      </c>
      <c r="Z60" t="n">
        <v>1</v>
      </c>
      <c r="AA60" t="n">
        <v>0</v>
      </c>
      <c r="AB60" t="n">
        <v>0</v>
      </c>
    </row>
    <row r="61">
      <c r="A61" t="n">
        <v>60</v>
      </c>
      <c r="B61" t="n">
        <v>2</v>
      </c>
      <c r="C61" t="n">
        <v>1</v>
      </c>
      <c r="D61" t="n">
        <v>1</v>
      </c>
      <c r="E61" t="n">
        <v>2</v>
      </c>
      <c r="F61" t="n">
        <v>2</v>
      </c>
      <c r="G61" t="n">
        <v>1</v>
      </c>
      <c r="H61" t="n">
        <v>24</v>
      </c>
      <c r="I61" t="n">
        <v>5</v>
      </c>
      <c r="J61" t="n">
        <v>6</v>
      </c>
      <c r="K61" t="n">
        <v>7</v>
      </c>
      <c r="L61" t="n">
        <v>4</v>
      </c>
      <c r="M61" t="n">
        <v>1</v>
      </c>
      <c r="N61" t="n">
        <v>4</v>
      </c>
      <c r="O61" t="n">
        <v>2</v>
      </c>
      <c r="P61" t="n">
        <v>3</v>
      </c>
      <c r="Q61" t="n">
        <v>2</v>
      </c>
      <c r="R61" t="n">
        <v>1</v>
      </c>
      <c r="S61" t="n">
        <v>3</v>
      </c>
      <c r="T61" t="n">
        <v>2</v>
      </c>
      <c r="U61" t="n">
        <v>1</v>
      </c>
      <c r="V61" t="n">
        <v>2</v>
      </c>
      <c r="W61" t="n">
        <v>3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</row>
    <row r="62">
      <c r="A62" t="n">
        <v>61</v>
      </c>
      <c r="B62" t="n">
        <v>2</v>
      </c>
      <c r="C62" t="n">
        <v>2</v>
      </c>
      <c r="D62" t="n">
        <v>4</v>
      </c>
      <c r="E62" t="n">
        <v>1</v>
      </c>
      <c r="F62" t="n">
        <v>1</v>
      </c>
      <c r="G62" t="n">
        <v>1</v>
      </c>
      <c r="H62" t="n">
        <v>3</v>
      </c>
      <c r="I62" t="n">
        <v>4</v>
      </c>
      <c r="J62" t="n">
        <v>4</v>
      </c>
      <c r="K62" t="n">
        <v>7</v>
      </c>
      <c r="L62" t="n">
        <v>3</v>
      </c>
      <c r="M62" t="n">
        <v>6</v>
      </c>
      <c r="N62" t="n">
        <v>3</v>
      </c>
      <c r="O62" t="n">
        <v>1</v>
      </c>
      <c r="P62" t="n">
        <v>4</v>
      </c>
      <c r="Q62" t="n">
        <v>4</v>
      </c>
      <c r="R62" t="n">
        <v>2</v>
      </c>
      <c r="S62" t="n">
        <v>3</v>
      </c>
      <c r="T62" t="n">
        <v>3</v>
      </c>
      <c r="U62" t="n">
        <v>1</v>
      </c>
      <c r="V62" t="n">
        <v>1</v>
      </c>
      <c r="W62" t="n">
        <v>4</v>
      </c>
      <c r="X62" t="n">
        <v>1</v>
      </c>
      <c r="Y62" t="n">
        <v>1</v>
      </c>
      <c r="Z62" t="n">
        <v>0</v>
      </c>
      <c r="AA62" t="n">
        <v>0</v>
      </c>
      <c r="AB62" t="n">
        <v>0</v>
      </c>
    </row>
    <row r="63">
      <c r="A63" t="n">
        <v>62</v>
      </c>
      <c r="B63" t="n">
        <v>2</v>
      </c>
      <c r="C63" t="n">
        <v>2</v>
      </c>
      <c r="D63" t="n">
        <v>3</v>
      </c>
      <c r="E63" t="n">
        <v>1</v>
      </c>
      <c r="F63" t="n">
        <v>1</v>
      </c>
      <c r="G63" t="n">
        <v>2</v>
      </c>
      <c r="H63" t="n">
        <v>28</v>
      </c>
      <c r="I63" t="n">
        <v>5</v>
      </c>
      <c r="J63" t="n">
        <v>5</v>
      </c>
      <c r="K63" t="n">
        <v>5</v>
      </c>
      <c r="L63" t="n">
        <v>5</v>
      </c>
      <c r="M63" t="n">
        <v>6</v>
      </c>
      <c r="N63" t="n">
        <v>1</v>
      </c>
      <c r="O63" t="n">
        <v>4</v>
      </c>
      <c r="P63" t="n">
        <v>3</v>
      </c>
      <c r="Q63" t="n">
        <v>5</v>
      </c>
      <c r="R63" t="n">
        <v>2</v>
      </c>
      <c r="S63" t="n">
        <v>1</v>
      </c>
      <c r="T63" t="n">
        <v>1</v>
      </c>
      <c r="U63" t="n">
        <v>1</v>
      </c>
      <c r="V63" t="n">
        <v>2</v>
      </c>
      <c r="W63" t="n">
        <v>2</v>
      </c>
      <c r="X63" t="n">
        <v>0</v>
      </c>
      <c r="Y63" t="n">
        <v>1</v>
      </c>
      <c r="Z63" t="n">
        <v>0</v>
      </c>
      <c r="AA63" t="n">
        <v>1</v>
      </c>
      <c r="AB63" t="n">
        <v>0</v>
      </c>
    </row>
    <row r="64">
      <c r="A64" t="n">
        <v>63</v>
      </c>
      <c r="B64" t="n">
        <v>2</v>
      </c>
      <c r="C64" t="n">
        <v>2</v>
      </c>
      <c r="D64" t="n">
        <v>3</v>
      </c>
      <c r="E64" t="n">
        <v>1</v>
      </c>
      <c r="F64" t="n">
        <v>2</v>
      </c>
      <c r="G64" t="n">
        <v>3</v>
      </c>
      <c r="H64" t="n">
        <v>29</v>
      </c>
      <c r="I64" t="n">
        <v>3</v>
      </c>
      <c r="J64" t="n">
        <v>4</v>
      </c>
      <c r="K64" t="n">
        <v>4</v>
      </c>
      <c r="L64" t="n">
        <v>1</v>
      </c>
      <c r="M64" t="n">
        <v>4</v>
      </c>
      <c r="N64" t="n">
        <v>3</v>
      </c>
      <c r="O64" t="n">
        <v>4</v>
      </c>
      <c r="P64" t="n">
        <v>1</v>
      </c>
      <c r="Q64" t="n">
        <v>5</v>
      </c>
      <c r="R64" t="n">
        <v>5</v>
      </c>
      <c r="S64" t="n">
        <v>1</v>
      </c>
      <c r="T64" t="n">
        <v>4</v>
      </c>
      <c r="U64" t="n">
        <v>3</v>
      </c>
      <c r="V64" t="n">
        <v>3</v>
      </c>
      <c r="W64" t="n">
        <v>4</v>
      </c>
      <c r="X64" t="n">
        <v>1</v>
      </c>
      <c r="Y64" t="n">
        <v>0</v>
      </c>
      <c r="Z64" t="n">
        <v>0</v>
      </c>
      <c r="AA64" t="n">
        <v>1</v>
      </c>
      <c r="AB64" t="n">
        <v>0</v>
      </c>
    </row>
    <row r="65">
      <c r="A65" t="n">
        <v>64</v>
      </c>
      <c r="B65" t="n">
        <v>2</v>
      </c>
      <c r="C65" t="n">
        <v>2</v>
      </c>
      <c r="D65" t="n">
        <v>1</v>
      </c>
      <c r="E65" t="n">
        <v>3</v>
      </c>
      <c r="F65" t="n">
        <v>2</v>
      </c>
      <c r="G65" t="n">
        <v>2</v>
      </c>
      <c r="H65" t="n">
        <v>41</v>
      </c>
      <c r="I65" t="n">
        <v>5</v>
      </c>
      <c r="J65" t="n">
        <v>3</v>
      </c>
      <c r="K65" t="n">
        <v>5</v>
      </c>
      <c r="L65" t="n">
        <v>2</v>
      </c>
      <c r="M65" t="n">
        <v>1</v>
      </c>
      <c r="N65" t="n">
        <v>1</v>
      </c>
      <c r="O65" t="n">
        <v>2</v>
      </c>
      <c r="P65" t="n">
        <v>3</v>
      </c>
      <c r="Q65" t="n">
        <v>3</v>
      </c>
      <c r="R65" t="n">
        <v>1</v>
      </c>
      <c r="S65" t="n">
        <v>3</v>
      </c>
      <c r="T65" t="n">
        <v>1</v>
      </c>
      <c r="U65" t="n">
        <v>2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</row>
    <row r="66">
      <c r="A66" t="n">
        <v>65</v>
      </c>
      <c r="B66" t="n">
        <v>2</v>
      </c>
      <c r="C66" t="n">
        <v>1</v>
      </c>
      <c r="D66" t="n">
        <v>1</v>
      </c>
      <c r="E66" t="n">
        <v>1</v>
      </c>
      <c r="F66" t="n">
        <v>2</v>
      </c>
      <c r="G66" t="n">
        <v>3</v>
      </c>
      <c r="H66" t="n">
        <v>42</v>
      </c>
      <c r="I66" t="n">
        <v>5</v>
      </c>
      <c r="J66" t="n">
        <v>5</v>
      </c>
      <c r="K66" t="n">
        <v>4</v>
      </c>
      <c r="L66" t="n">
        <v>1</v>
      </c>
      <c r="M66" t="n">
        <v>6</v>
      </c>
      <c r="N66" t="n">
        <v>3</v>
      </c>
      <c r="O66" t="n">
        <v>5</v>
      </c>
      <c r="P66" t="n">
        <v>1</v>
      </c>
      <c r="Q66" t="n">
        <v>2</v>
      </c>
      <c r="R66" t="n">
        <v>7</v>
      </c>
      <c r="S66" t="n">
        <v>4</v>
      </c>
      <c r="T66" t="n">
        <v>4</v>
      </c>
      <c r="U66" t="n">
        <v>2</v>
      </c>
      <c r="V66" t="n">
        <v>3</v>
      </c>
      <c r="W66" t="n">
        <v>3</v>
      </c>
      <c r="X66" t="n">
        <v>1</v>
      </c>
      <c r="Y66" t="n">
        <v>1</v>
      </c>
      <c r="Z66" t="n">
        <v>0</v>
      </c>
      <c r="AA66" t="n">
        <v>0</v>
      </c>
      <c r="AB66" t="n">
        <v>0</v>
      </c>
    </row>
    <row r="67">
      <c r="A67" t="n">
        <v>66</v>
      </c>
      <c r="B67" t="n">
        <v>2</v>
      </c>
      <c r="C67" t="n">
        <v>2</v>
      </c>
      <c r="D67" t="n">
        <v>1</v>
      </c>
      <c r="E67" t="n">
        <v>2</v>
      </c>
      <c r="F67" t="n">
        <v>2</v>
      </c>
      <c r="G67" t="n">
        <v>2</v>
      </c>
      <c r="H67" t="n">
        <v>48</v>
      </c>
      <c r="I67" t="n">
        <v>1</v>
      </c>
      <c r="J67" t="n">
        <v>5</v>
      </c>
      <c r="K67" t="n">
        <v>4</v>
      </c>
      <c r="L67" t="n">
        <v>3</v>
      </c>
      <c r="M67" t="n">
        <v>1</v>
      </c>
      <c r="N67" t="n">
        <v>1</v>
      </c>
      <c r="O67" t="n">
        <v>4</v>
      </c>
      <c r="P67" t="n">
        <v>3</v>
      </c>
      <c r="Q67" t="n">
        <v>2</v>
      </c>
      <c r="R67" t="n">
        <v>6</v>
      </c>
      <c r="S67" t="n">
        <v>3</v>
      </c>
      <c r="T67" t="n">
        <v>2</v>
      </c>
      <c r="U67" t="n">
        <v>2</v>
      </c>
      <c r="V67" t="n">
        <v>4</v>
      </c>
      <c r="W67" t="n">
        <v>4</v>
      </c>
      <c r="X67" t="n">
        <v>1</v>
      </c>
      <c r="Y67" t="n">
        <v>0</v>
      </c>
      <c r="Z67" t="n">
        <v>1</v>
      </c>
      <c r="AA67" t="n">
        <v>0</v>
      </c>
      <c r="AB67" t="n">
        <v>0</v>
      </c>
    </row>
    <row r="68">
      <c r="A68" t="n">
        <v>67</v>
      </c>
      <c r="B68" t="n">
        <v>2</v>
      </c>
      <c r="C68" t="n">
        <v>1</v>
      </c>
      <c r="D68" t="n">
        <v>3</v>
      </c>
      <c r="E68" t="n">
        <v>3</v>
      </c>
      <c r="F68" t="n">
        <v>1</v>
      </c>
      <c r="G68" t="n">
        <v>2</v>
      </c>
      <c r="H68" t="n">
        <v>19</v>
      </c>
      <c r="I68" t="n">
        <v>5</v>
      </c>
      <c r="J68" t="n">
        <v>3</v>
      </c>
      <c r="K68" t="n">
        <v>4</v>
      </c>
      <c r="L68" t="n">
        <v>2</v>
      </c>
      <c r="M68" t="n">
        <v>3</v>
      </c>
      <c r="N68" t="n">
        <v>2</v>
      </c>
      <c r="O68" t="n">
        <v>1</v>
      </c>
      <c r="P68" t="n">
        <v>7</v>
      </c>
      <c r="Q68" t="n">
        <v>5</v>
      </c>
      <c r="R68" t="n">
        <v>4</v>
      </c>
      <c r="S68" t="n">
        <v>3</v>
      </c>
      <c r="T68" t="n">
        <v>2</v>
      </c>
      <c r="U68" t="n">
        <v>3</v>
      </c>
      <c r="V68" t="n">
        <v>4</v>
      </c>
      <c r="W68" t="n">
        <v>4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</row>
    <row r="69">
      <c r="A69" t="n">
        <v>68</v>
      </c>
      <c r="B69" t="n">
        <v>2</v>
      </c>
      <c r="C69" t="n">
        <v>1</v>
      </c>
      <c r="D69" t="n">
        <v>2</v>
      </c>
      <c r="E69" t="n">
        <v>3</v>
      </c>
      <c r="F69" t="n">
        <v>1</v>
      </c>
      <c r="G69" t="n">
        <v>1</v>
      </c>
      <c r="H69" t="n">
        <v>45</v>
      </c>
      <c r="I69" t="n">
        <v>1</v>
      </c>
      <c r="J69" t="n">
        <v>3</v>
      </c>
      <c r="K69" t="n">
        <v>1</v>
      </c>
      <c r="L69" t="n">
        <v>3</v>
      </c>
      <c r="M69" t="n">
        <v>4</v>
      </c>
      <c r="N69" t="n">
        <v>1</v>
      </c>
      <c r="O69" t="n">
        <v>1</v>
      </c>
      <c r="P69" t="n">
        <v>3</v>
      </c>
      <c r="Q69" t="n">
        <v>4</v>
      </c>
      <c r="R69" t="n">
        <v>3</v>
      </c>
      <c r="S69" t="n">
        <v>3</v>
      </c>
      <c r="T69" t="n">
        <v>1</v>
      </c>
      <c r="U69" t="n">
        <v>3</v>
      </c>
      <c r="V69" t="n">
        <v>1</v>
      </c>
      <c r="W69" t="n">
        <v>2</v>
      </c>
      <c r="X69" t="n">
        <v>1</v>
      </c>
      <c r="Y69" t="n">
        <v>1</v>
      </c>
      <c r="Z69" t="n">
        <v>1</v>
      </c>
      <c r="AA69" t="n">
        <v>1</v>
      </c>
      <c r="AB69" t="n">
        <v>0</v>
      </c>
    </row>
    <row r="70">
      <c r="A70" t="n">
        <v>69</v>
      </c>
      <c r="B70" t="n">
        <v>2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27</v>
      </c>
      <c r="I70" t="n">
        <v>5</v>
      </c>
      <c r="J70" t="n">
        <v>5</v>
      </c>
      <c r="K70" t="n">
        <v>4</v>
      </c>
      <c r="L70" t="n">
        <v>5</v>
      </c>
      <c r="M70" t="n">
        <v>2</v>
      </c>
      <c r="N70" t="n">
        <v>5</v>
      </c>
      <c r="O70" t="n">
        <v>2</v>
      </c>
      <c r="P70" t="n">
        <v>3</v>
      </c>
      <c r="Q70" t="n">
        <v>3</v>
      </c>
      <c r="R70" t="n">
        <v>4</v>
      </c>
      <c r="S70" t="n">
        <v>2</v>
      </c>
      <c r="T70" t="n">
        <v>2</v>
      </c>
      <c r="U70" t="n">
        <v>4</v>
      </c>
      <c r="V70" t="n">
        <v>4</v>
      </c>
      <c r="W70" t="n">
        <v>1</v>
      </c>
      <c r="X70" t="n">
        <v>0</v>
      </c>
      <c r="Y70" t="n">
        <v>1</v>
      </c>
      <c r="Z70" t="n">
        <v>0</v>
      </c>
      <c r="AA70" t="n">
        <v>0</v>
      </c>
      <c r="AB70" t="n">
        <v>0</v>
      </c>
    </row>
    <row r="71">
      <c r="A71" t="n">
        <v>70</v>
      </c>
      <c r="B71" t="n">
        <v>2</v>
      </c>
      <c r="C71" t="n">
        <v>1</v>
      </c>
      <c r="D71" t="n">
        <v>3</v>
      </c>
      <c r="E71" t="n">
        <v>3</v>
      </c>
      <c r="F71" t="n">
        <v>1</v>
      </c>
      <c r="G71" t="n">
        <v>3</v>
      </c>
      <c r="H71" t="n">
        <v>15</v>
      </c>
      <c r="I71" t="n">
        <v>1</v>
      </c>
      <c r="J71" t="n">
        <v>2</v>
      </c>
      <c r="K71" t="n">
        <v>5</v>
      </c>
      <c r="L71" t="n">
        <v>4</v>
      </c>
      <c r="M71" t="n">
        <v>5</v>
      </c>
      <c r="N71" t="n">
        <v>1</v>
      </c>
      <c r="O71" t="n">
        <v>4</v>
      </c>
      <c r="P71" t="n">
        <v>2</v>
      </c>
      <c r="Q71" t="n">
        <v>1</v>
      </c>
      <c r="R71" t="n">
        <v>2</v>
      </c>
      <c r="S71" t="n">
        <v>2</v>
      </c>
      <c r="T71" t="n">
        <v>4</v>
      </c>
      <c r="U71" t="n">
        <v>1</v>
      </c>
      <c r="V71" t="n">
        <v>2</v>
      </c>
      <c r="W71" t="n">
        <v>3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</row>
    <row r="72">
      <c r="A72" t="n">
        <v>71</v>
      </c>
      <c r="B72" t="n">
        <v>2</v>
      </c>
      <c r="C72" t="n">
        <v>2</v>
      </c>
      <c r="D72" t="n">
        <v>2</v>
      </c>
      <c r="E72" t="n">
        <v>1</v>
      </c>
      <c r="F72" t="n">
        <v>2</v>
      </c>
      <c r="G72" t="n">
        <v>1</v>
      </c>
      <c r="H72" t="n">
        <v>29</v>
      </c>
      <c r="I72" t="n">
        <v>2</v>
      </c>
      <c r="J72" t="n">
        <v>4</v>
      </c>
      <c r="K72" t="n">
        <v>3</v>
      </c>
      <c r="L72" t="n">
        <v>3</v>
      </c>
      <c r="M72" t="n">
        <v>2</v>
      </c>
      <c r="N72" t="n">
        <v>1</v>
      </c>
      <c r="O72" t="n">
        <v>5</v>
      </c>
      <c r="P72" t="n">
        <v>1</v>
      </c>
      <c r="Q72" t="n">
        <v>4</v>
      </c>
      <c r="R72" t="n">
        <v>5</v>
      </c>
      <c r="S72" t="n">
        <v>2</v>
      </c>
      <c r="T72" t="n">
        <v>1</v>
      </c>
      <c r="U72" t="n">
        <v>2</v>
      </c>
      <c r="V72" t="n">
        <v>2</v>
      </c>
      <c r="W72" t="n">
        <v>1</v>
      </c>
      <c r="X72" t="n">
        <v>1</v>
      </c>
      <c r="Y72" t="n">
        <v>1</v>
      </c>
      <c r="Z72" t="n">
        <v>0</v>
      </c>
      <c r="AA72" t="n">
        <v>1</v>
      </c>
      <c r="AB72" t="n">
        <v>0</v>
      </c>
    </row>
    <row r="73">
      <c r="A73" t="n">
        <v>72</v>
      </c>
      <c r="B73" t="n">
        <v>2</v>
      </c>
      <c r="C73" t="n">
        <v>2</v>
      </c>
      <c r="D73" t="n">
        <v>1</v>
      </c>
      <c r="E73" t="n">
        <v>1</v>
      </c>
      <c r="F73" t="n">
        <v>2</v>
      </c>
      <c r="G73" t="n">
        <v>2</v>
      </c>
      <c r="H73" t="n">
        <v>40</v>
      </c>
      <c r="I73" t="n">
        <v>2</v>
      </c>
      <c r="J73" t="n">
        <v>4</v>
      </c>
      <c r="K73" t="n">
        <v>1</v>
      </c>
      <c r="L73" t="n">
        <v>3</v>
      </c>
      <c r="M73" t="n">
        <v>5</v>
      </c>
      <c r="N73" t="n">
        <v>2</v>
      </c>
      <c r="O73" t="n">
        <v>2</v>
      </c>
      <c r="P73" t="n">
        <v>5</v>
      </c>
      <c r="Q73" t="n">
        <v>5</v>
      </c>
      <c r="R73" t="n">
        <v>3</v>
      </c>
      <c r="S73" t="n">
        <v>1</v>
      </c>
      <c r="T73" t="n">
        <v>2</v>
      </c>
      <c r="U73" t="n">
        <v>3</v>
      </c>
      <c r="V73" t="n">
        <v>2</v>
      </c>
      <c r="W73" t="n">
        <v>3</v>
      </c>
      <c r="X73" t="n">
        <v>1</v>
      </c>
      <c r="Y73" t="n">
        <v>0</v>
      </c>
      <c r="Z73" t="n">
        <v>1</v>
      </c>
      <c r="AA73" t="n">
        <v>1</v>
      </c>
      <c r="AB73" t="n">
        <v>0</v>
      </c>
    </row>
    <row r="74">
      <c r="A74" t="n">
        <v>73</v>
      </c>
      <c r="B74" t="n">
        <v>2</v>
      </c>
      <c r="C74" t="n">
        <v>2</v>
      </c>
      <c r="D74" t="n">
        <v>4</v>
      </c>
      <c r="E74" t="n">
        <v>1</v>
      </c>
      <c r="F74" t="n">
        <v>2</v>
      </c>
      <c r="G74" t="n">
        <v>1</v>
      </c>
      <c r="H74" t="n">
        <v>46</v>
      </c>
      <c r="I74" t="n">
        <v>4</v>
      </c>
      <c r="J74" t="n">
        <v>6</v>
      </c>
      <c r="K74" t="n">
        <v>2</v>
      </c>
      <c r="L74" t="n">
        <v>4</v>
      </c>
      <c r="M74" t="n">
        <v>6</v>
      </c>
      <c r="N74" t="n">
        <v>5</v>
      </c>
      <c r="O74" t="n">
        <v>2</v>
      </c>
      <c r="P74" t="n">
        <v>4</v>
      </c>
      <c r="Q74" t="n">
        <v>4</v>
      </c>
      <c r="R74" t="n">
        <v>1</v>
      </c>
      <c r="S74" t="n">
        <v>3</v>
      </c>
      <c r="T74" t="n">
        <v>1</v>
      </c>
      <c r="U74" t="n">
        <v>4</v>
      </c>
      <c r="V74" t="n">
        <v>1</v>
      </c>
      <c r="W74" t="n">
        <v>4</v>
      </c>
      <c r="X74" t="n">
        <v>1</v>
      </c>
      <c r="Y74" t="n">
        <v>1</v>
      </c>
      <c r="Z74" t="n">
        <v>1</v>
      </c>
      <c r="AA74" t="n">
        <v>0</v>
      </c>
      <c r="AB74" t="n">
        <v>0</v>
      </c>
    </row>
    <row r="75">
      <c r="A75" t="n">
        <v>74</v>
      </c>
      <c r="B75" t="n">
        <v>2</v>
      </c>
      <c r="C75" t="n">
        <v>2</v>
      </c>
      <c r="D75" t="n">
        <v>3</v>
      </c>
      <c r="E75" t="n">
        <v>2</v>
      </c>
      <c r="F75" t="n">
        <v>1</v>
      </c>
      <c r="G75" t="n">
        <v>2</v>
      </c>
      <c r="H75" t="n">
        <v>22</v>
      </c>
      <c r="I75" t="n">
        <v>3</v>
      </c>
      <c r="J75" t="n">
        <v>3</v>
      </c>
      <c r="K75" t="n">
        <v>3</v>
      </c>
      <c r="L75" t="n">
        <v>4</v>
      </c>
      <c r="M75" t="n">
        <v>6</v>
      </c>
      <c r="N75" t="n">
        <v>3</v>
      </c>
      <c r="O75" t="n">
        <v>3</v>
      </c>
      <c r="P75" t="n">
        <v>4</v>
      </c>
      <c r="Q75" t="n">
        <v>4</v>
      </c>
      <c r="R75" t="n">
        <v>7</v>
      </c>
      <c r="S75" t="n">
        <v>1</v>
      </c>
      <c r="T75" t="n">
        <v>1</v>
      </c>
      <c r="U75" t="n">
        <v>2</v>
      </c>
      <c r="V75" t="n">
        <v>3</v>
      </c>
      <c r="W75" t="n">
        <v>4</v>
      </c>
      <c r="X75" t="n">
        <v>0</v>
      </c>
      <c r="Y75" t="n">
        <v>1</v>
      </c>
      <c r="Z75" t="n">
        <v>0</v>
      </c>
      <c r="AA75" t="n">
        <v>1</v>
      </c>
      <c r="AB75" t="n">
        <v>0</v>
      </c>
    </row>
    <row r="76">
      <c r="A76" t="n">
        <v>75</v>
      </c>
      <c r="B76" t="n">
        <v>2</v>
      </c>
      <c r="C76" t="n">
        <v>2</v>
      </c>
      <c r="D76" t="n">
        <v>3</v>
      </c>
      <c r="E76" t="n">
        <v>2</v>
      </c>
      <c r="F76" t="n">
        <v>2</v>
      </c>
      <c r="G76" t="n">
        <v>1</v>
      </c>
      <c r="H76" t="n">
        <v>48</v>
      </c>
      <c r="I76" t="n">
        <v>2</v>
      </c>
      <c r="J76" t="n">
        <v>2</v>
      </c>
      <c r="K76" t="n">
        <v>2</v>
      </c>
      <c r="L76" t="n">
        <v>1</v>
      </c>
      <c r="M76" t="n">
        <v>2</v>
      </c>
      <c r="N76" t="n">
        <v>5</v>
      </c>
      <c r="O76" t="n">
        <v>3</v>
      </c>
      <c r="P76" t="n">
        <v>7</v>
      </c>
      <c r="Q76" t="n">
        <v>1</v>
      </c>
      <c r="R76" t="n">
        <v>3</v>
      </c>
      <c r="S76" t="n">
        <v>4</v>
      </c>
      <c r="T76" t="n">
        <v>2</v>
      </c>
      <c r="U76" t="n">
        <v>1</v>
      </c>
      <c r="V76" t="n">
        <v>1</v>
      </c>
      <c r="W76" t="n">
        <v>3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</row>
    <row r="77">
      <c r="A77" t="n">
        <v>76</v>
      </c>
      <c r="B77" t="n">
        <v>2</v>
      </c>
      <c r="C77" t="n">
        <v>1</v>
      </c>
      <c r="D77" t="n">
        <v>1</v>
      </c>
      <c r="E77" t="n">
        <v>3</v>
      </c>
      <c r="F77" t="n">
        <v>2</v>
      </c>
      <c r="G77" t="n">
        <v>3</v>
      </c>
      <c r="H77" t="n">
        <v>2</v>
      </c>
      <c r="I77" t="n">
        <v>2</v>
      </c>
      <c r="J77" t="n">
        <v>2</v>
      </c>
      <c r="K77" t="n">
        <v>5</v>
      </c>
      <c r="L77" t="n">
        <v>4</v>
      </c>
      <c r="M77" t="n">
        <v>4</v>
      </c>
      <c r="N77" t="n">
        <v>3</v>
      </c>
      <c r="O77" t="n">
        <v>1</v>
      </c>
      <c r="P77" t="n">
        <v>1</v>
      </c>
      <c r="Q77" t="n">
        <v>4</v>
      </c>
      <c r="R77" t="n">
        <v>2</v>
      </c>
      <c r="S77" t="n">
        <v>3</v>
      </c>
      <c r="T77" t="n">
        <v>1</v>
      </c>
      <c r="U77" t="n">
        <v>2</v>
      </c>
      <c r="V77" t="n">
        <v>4</v>
      </c>
      <c r="W77" t="n">
        <v>5</v>
      </c>
      <c r="X77" t="n">
        <v>1</v>
      </c>
      <c r="Y77" t="n">
        <v>1</v>
      </c>
      <c r="Z77" t="n">
        <v>1</v>
      </c>
      <c r="AA77" t="n">
        <v>0</v>
      </c>
      <c r="AB77" t="n">
        <v>0</v>
      </c>
    </row>
    <row r="78">
      <c r="A78" t="n">
        <v>77</v>
      </c>
      <c r="B78" t="n">
        <v>2</v>
      </c>
      <c r="C78" t="n">
        <v>1</v>
      </c>
      <c r="D78" t="n">
        <v>3</v>
      </c>
      <c r="E78" t="n">
        <v>2</v>
      </c>
      <c r="F78" t="n">
        <v>2</v>
      </c>
      <c r="G78" t="n">
        <v>2</v>
      </c>
      <c r="H78" t="n">
        <v>45</v>
      </c>
      <c r="I78" t="n">
        <v>1</v>
      </c>
      <c r="J78" t="n">
        <v>5</v>
      </c>
      <c r="K78" t="n">
        <v>3</v>
      </c>
      <c r="L78" t="n">
        <v>3</v>
      </c>
      <c r="M78" t="n">
        <v>3</v>
      </c>
      <c r="N78" t="n">
        <v>6</v>
      </c>
      <c r="O78" t="n">
        <v>5</v>
      </c>
      <c r="P78" t="n">
        <v>1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1</v>
      </c>
      <c r="W78" t="n">
        <v>3</v>
      </c>
      <c r="X78" t="n">
        <v>0</v>
      </c>
      <c r="Y78" t="n">
        <v>1</v>
      </c>
      <c r="Z78" t="n">
        <v>0</v>
      </c>
      <c r="AA78" t="n">
        <v>1</v>
      </c>
      <c r="AB78" t="n">
        <v>0</v>
      </c>
    </row>
    <row r="79">
      <c r="A79" t="n">
        <v>78</v>
      </c>
      <c r="B79" t="n">
        <v>2</v>
      </c>
      <c r="C79" t="n">
        <v>1</v>
      </c>
      <c r="D79" t="n">
        <v>3</v>
      </c>
      <c r="E79" t="n">
        <v>3</v>
      </c>
      <c r="F79" t="n">
        <v>1</v>
      </c>
      <c r="G79" t="n">
        <v>2</v>
      </c>
      <c r="H79" t="n">
        <v>25</v>
      </c>
      <c r="I79" t="n">
        <v>2</v>
      </c>
      <c r="J79" t="n">
        <v>4</v>
      </c>
      <c r="K79" t="n">
        <v>5</v>
      </c>
      <c r="L79" t="n">
        <v>5</v>
      </c>
      <c r="M79" t="n">
        <v>6</v>
      </c>
      <c r="N79" t="n">
        <v>2</v>
      </c>
      <c r="O79" t="n">
        <v>2</v>
      </c>
      <c r="P79" t="n">
        <v>4</v>
      </c>
      <c r="Q79" t="n">
        <v>3</v>
      </c>
      <c r="R79" t="n">
        <v>2</v>
      </c>
      <c r="S79" t="n">
        <v>3</v>
      </c>
      <c r="T79" t="n">
        <v>4</v>
      </c>
      <c r="U79" t="n">
        <v>2</v>
      </c>
      <c r="V79" t="n">
        <v>2</v>
      </c>
      <c r="W79" t="n">
        <v>2</v>
      </c>
      <c r="X79" t="n">
        <v>0</v>
      </c>
      <c r="Y79" t="n">
        <v>1</v>
      </c>
      <c r="Z79" t="n">
        <v>0</v>
      </c>
      <c r="AA79" t="n">
        <v>1</v>
      </c>
      <c r="AB79" t="n">
        <v>0</v>
      </c>
    </row>
    <row r="80">
      <c r="A80" t="n">
        <v>79</v>
      </c>
      <c r="B80" t="n">
        <v>2</v>
      </c>
      <c r="C80" t="n">
        <v>1</v>
      </c>
      <c r="D80" t="n">
        <v>2</v>
      </c>
      <c r="E80" t="n">
        <v>3</v>
      </c>
      <c r="F80" t="n">
        <v>2</v>
      </c>
      <c r="G80" t="n">
        <v>1</v>
      </c>
      <c r="H80" t="n">
        <v>31</v>
      </c>
      <c r="I80" t="n">
        <v>5</v>
      </c>
      <c r="J80" t="n">
        <v>4</v>
      </c>
      <c r="K80" t="n">
        <v>1</v>
      </c>
      <c r="L80" t="n">
        <v>3</v>
      </c>
      <c r="M80" t="n">
        <v>3</v>
      </c>
      <c r="N80" t="n">
        <v>5</v>
      </c>
      <c r="O80" t="n">
        <v>2</v>
      </c>
      <c r="P80" t="n">
        <v>4</v>
      </c>
      <c r="Q80" t="n">
        <v>2</v>
      </c>
      <c r="R80" t="n">
        <v>5</v>
      </c>
      <c r="S80" t="n">
        <v>1</v>
      </c>
      <c r="T80" t="n">
        <v>1</v>
      </c>
      <c r="U80" t="n">
        <v>2</v>
      </c>
      <c r="V80" t="n">
        <v>3</v>
      </c>
      <c r="W80" t="n">
        <v>1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</row>
    <row r="81">
      <c r="A81" t="n">
        <v>80</v>
      </c>
      <c r="B81" t="n">
        <v>2</v>
      </c>
      <c r="C81" t="n">
        <v>1</v>
      </c>
      <c r="D81" t="n">
        <v>4</v>
      </c>
      <c r="E81" t="n">
        <v>1</v>
      </c>
      <c r="F81" t="n">
        <v>2</v>
      </c>
      <c r="G81" t="n">
        <v>1</v>
      </c>
      <c r="H81" t="n">
        <v>48</v>
      </c>
      <c r="I81" t="n">
        <v>3</v>
      </c>
      <c r="J81" t="n">
        <v>3</v>
      </c>
      <c r="K81" t="n">
        <v>2</v>
      </c>
      <c r="L81" t="n">
        <v>2</v>
      </c>
      <c r="M81" t="n">
        <v>4</v>
      </c>
      <c r="N81" t="n">
        <v>5</v>
      </c>
      <c r="O81" t="n">
        <v>4</v>
      </c>
      <c r="P81" t="n">
        <v>5</v>
      </c>
      <c r="Q81" t="n">
        <v>5</v>
      </c>
      <c r="R81" t="n">
        <v>4</v>
      </c>
      <c r="S81" t="n">
        <v>3</v>
      </c>
      <c r="T81" t="n">
        <v>2</v>
      </c>
      <c r="U81" t="n">
        <v>4</v>
      </c>
      <c r="V81" t="n">
        <v>3</v>
      </c>
      <c r="W81" t="n">
        <v>4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</row>
    <row r="82">
      <c r="A82" t="n">
        <v>81</v>
      </c>
      <c r="B82" t="n">
        <v>2</v>
      </c>
      <c r="C82" t="n">
        <v>2</v>
      </c>
      <c r="D82" t="n">
        <v>4</v>
      </c>
      <c r="E82" t="n">
        <v>3</v>
      </c>
      <c r="F82" t="n">
        <v>2</v>
      </c>
      <c r="G82" t="n">
        <v>2</v>
      </c>
      <c r="H82" t="n">
        <v>23</v>
      </c>
      <c r="I82" t="n">
        <v>5</v>
      </c>
      <c r="J82" t="n">
        <v>6</v>
      </c>
      <c r="K82" t="n">
        <v>2</v>
      </c>
      <c r="L82" t="n">
        <v>3</v>
      </c>
      <c r="M82" t="n">
        <v>2</v>
      </c>
      <c r="N82" t="n">
        <v>4</v>
      </c>
      <c r="O82" t="n">
        <v>5</v>
      </c>
      <c r="P82" t="n">
        <v>2</v>
      </c>
      <c r="Q82" t="n">
        <v>4</v>
      </c>
      <c r="R82" t="n">
        <v>4</v>
      </c>
      <c r="S82" t="n">
        <v>2</v>
      </c>
      <c r="T82" t="n">
        <v>3</v>
      </c>
      <c r="U82" t="n">
        <v>3</v>
      </c>
      <c r="V82" t="n">
        <v>3</v>
      </c>
      <c r="W82" t="n">
        <v>2</v>
      </c>
      <c r="X82" t="n">
        <v>0</v>
      </c>
      <c r="Y82" t="n">
        <v>0</v>
      </c>
      <c r="Z82" t="n">
        <v>1</v>
      </c>
      <c r="AA82" t="n">
        <v>1</v>
      </c>
      <c r="AB82" t="n">
        <v>0</v>
      </c>
    </row>
    <row r="83">
      <c r="A83" t="n">
        <v>82</v>
      </c>
      <c r="B83" t="n">
        <v>2</v>
      </c>
      <c r="C83" t="n">
        <v>1</v>
      </c>
      <c r="D83" t="n">
        <v>3</v>
      </c>
      <c r="E83" t="n">
        <v>2</v>
      </c>
      <c r="F83" t="n">
        <v>1</v>
      </c>
      <c r="G83" t="n">
        <v>1</v>
      </c>
      <c r="H83" t="n">
        <v>43</v>
      </c>
      <c r="I83" t="n">
        <v>1</v>
      </c>
      <c r="J83" t="n">
        <v>1</v>
      </c>
      <c r="K83" t="n">
        <v>2</v>
      </c>
      <c r="L83" t="n">
        <v>3</v>
      </c>
      <c r="M83" t="n">
        <v>6</v>
      </c>
      <c r="N83" t="n">
        <v>2</v>
      </c>
      <c r="O83" t="n">
        <v>5</v>
      </c>
      <c r="P83" t="n">
        <v>1</v>
      </c>
      <c r="Q83" t="n">
        <v>3</v>
      </c>
      <c r="R83" t="n">
        <v>2</v>
      </c>
      <c r="S83" t="n">
        <v>2</v>
      </c>
      <c r="T83" t="n">
        <v>3</v>
      </c>
      <c r="U83" t="n">
        <v>3</v>
      </c>
      <c r="V83" t="n">
        <v>2</v>
      </c>
      <c r="W83" t="n">
        <v>5</v>
      </c>
      <c r="X83" t="n">
        <v>1</v>
      </c>
      <c r="Y83" t="n">
        <v>0</v>
      </c>
      <c r="Z83" t="n">
        <v>1</v>
      </c>
      <c r="AA83" t="n">
        <v>1</v>
      </c>
      <c r="AB83" t="n">
        <v>0</v>
      </c>
    </row>
    <row r="84">
      <c r="A84" t="n">
        <v>83</v>
      </c>
      <c r="B84" t="n">
        <v>2</v>
      </c>
      <c r="C84" t="n">
        <v>2</v>
      </c>
      <c r="D84" t="n">
        <v>1</v>
      </c>
      <c r="E84" t="n">
        <v>3</v>
      </c>
      <c r="F84" t="n">
        <v>2</v>
      </c>
      <c r="G84" t="n">
        <v>3</v>
      </c>
      <c r="H84" t="n">
        <v>2</v>
      </c>
      <c r="I84" t="n">
        <v>1</v>
      </c>
      <c r="J84" t="n">
        <v>5</v>
      </c>
      <c r="K84" t="n">
        <v>4</v>
      </c>
      <c r="L84" t="n">
        <v>3</v>
      </c>
      <c r="M84" t="n">
        <v>7</v>
      </c>
      <c r="N84" t="n">
        <v>2</v>
      </c>
      <c r="O84" t="n">
        <v>5</v>
      </c>
      <c r="P84" t="n">
        <v>5</v>
      </c>
      <c r="Q84" t="n">
        <v>3</v>
      </c>
      <c r="R84" t="n">
        <v>2</v>
      </c>
      <c r="S84" t="n">
        <v>1</v>
      </c>
      <c r="T84" t="n">
        <v>5</v>
      </c>
      <c r="U84" t="n">
        <v>2</v>
      </c>
      <c r="V84" t="n">
        <v>1</v>
      </c>
      <c r="W84" t="n">
        <v>5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</row>
    <row r="85">
      <c r="A85" t="n">
        <v>84</v>
      </c>
      <c r="B85" t="n">
        <v>2</v>
      </c>
      <c r="C85" t="n">
        <v>2</v>
      </c>
      <c r="D85" t="n">
        <v>3</v>
      </c>
      <c r="E85" t="n">
        <v>1</v>
      </c>
      <c r="F85" t="n">
        <v>2</v>
      </c>
      <c r="G85" t="n">
        <v>3</v>
      </c>
      <c r="H85" t="n">
        <v>50</v>
      </c>
      <c r="I85" t="n">
        <v>5</v>
      </c>
      <c r="J85" t="n">
        <v>3</v>
      </c>
      <c r="K85" t="n">
        <v>7</v>
      </c>
      <c r="L85" t="n">
        <v>2</v>
      </c>
      <c r="M85" t="n">
        <v>7</v>
      </c>
      <c r="N85" t="n">
        <v>4</v>
      </c>
      <c r="O85" t="n">
        <v>4</v>
      </c>
      <c r="P85" t="n">
        <v>6</v>
      </c>
      <c r="Q85" t="n">
        <v>2</v>
      </c>
      <c r="R85" t="n">
        <v>6</v>
      </c>
      <c r="S85" t="n">
        <v>2</v>
      </c>
      <c r="T85" t="n">
        <v>3</v>
      </c>
      <c r="U85" t="n">
        <v>3</v>
      </c>
      <c r="V85" t="n">
        <v>2</v>
      </c>
      <c r="W85" t="n">
        <v>4</v>
      </c>
      <c r="X85" t="n">
        <v>1</v>
      </c>
      <c r="Y85" t="n">
        <v>0</v>
      </c>
      <c r="Z85" t="n">
        <v>0</v>
      </c>
      <c r="AA85" t="n">
        <v>1</v>
      </c>
      <c r="AB85" t="n">
        <v>0</v>
      </c>
    </row>
    <row r="86">
      <c r="A86" t="n">
        <v>85</v>
      </c>
      <c r="B86" t="n">
        <v>2</v>
      </c>
      <c r="C86" t="n">
        <v>2</v>
      </c>
      <c r="D86" t="n">
        <v>4</v>
      </c>
      <c r="E86" t="n">
        <v>3</v>
      </c>
      <c r="F86" t="n">
        <v>1</v>
      </c>
      <c r="G86" t="n">
        <v>1</v>
      </c>
      <c r="H86" t="n">
        <v>4</v>
      </c>
      <c r="I86" t="n">
        <v>4</v>
      </c>
      <c r="J86" t="n">
        <v>3</v>
      </c>
      <c r="K86" t="n">
        <v>7</v>
      </c>
      <c r="L86" t="n">
        <v>1</v>
      </c>
      <c r="M86" t="n">
        <v>5</v>
      </c>
      <c r="N86" t="n">
        <v>2</v>
      </c>
      <c r="O86" t="n">
        <v>3</v>
      </c>
      <c r="P86" t="n">
        <v>5</v>
      </c>
      <c r="Q86" t="n">
        <v>2</v>
      </c>
      <c r="R86" t="n">
        <v>1</v>
      </c>
      <c r="S86" t="n">
        <v>5</v>
      </c>
      <c r="T86" t="n">
        <v>5</v>
      </c>
      <c r="U86" t="n">
        <v>1</v>
      </c>
      <c r="V86" t="n">
        <v>5</v>
      </c>
      <c r="W86" t="n">
        <v>3</v>
      </c>
      <c r="X86" t="n">
        <v>0</v>
      </c>
      <c r="Y86" t="n">
        <v>1</v>
      </c>
      <c r="Z86" t="n">
        <v>0</v>
      </c>
      <c r="AA86" t="n">
        <v>0</v>
      </c>
      <c r="AB86" t="n">
        <v>0</v>
      </c>
    </row>
    <row r="87">
      <c r="A87" t="n">
        <v>86</v>
      </c>
      <c r="B87" t="n">
        <v>2</v>
      </c>
      <c r="C87" t="n">
        <v>2</v>
      </c>
      <c r="D87" t="n">
        <v>1</v>
      </c>
      <c r="E87" t="n">
        <v>1</v>
      </c>
      <c r="F87" t="n">
        <v>2</v>
      </c>
      <c r="G87" t="n">
        <v>1</v>
      </c>
      <c r="H87" t="n">
        <v>28</v>
      </c>
      <c r="I87" t="n">
        <v>2</v>
      </c>
      <c r="J87" t="n">
        <v>4</v>
      </c>
      <c r="K87" t="n">
        <v>3</v>
      </c>
      <c r="L87" t="n">
        <v>2</v>
      </c>
      <c r="M87" t="n">
        <v>3</v>
      </c>
      <c r="N87" t="n">
        <v>1</v>
      </c>
      <c r="O87" t="n">
        <v>1</v>
      </c>
      <c r="P87" t="n">
        <v>5</v>
      </c>
      <c r="Q87" t="n">
        <v>1</v>
      </c>
      <c r="R87" t="n">
        <v>3</v>
      </c>
      <c r="S87" t="n">
        <v>1</v>
      </c>
      <c r="T87" t="n">
        <v>4</v>
      </c>
      <c r="U87" t="n">
        <v>4</v>
      </c>
      <c r="V87" t="n">
        <v>2</v>
      </c>
      <c r="W87" t="n">
        <v>1</v>
      </c>
      <c r="X87" t="n">
        <v>1</v>
      </c>
      <c r="Y87" t="n">
        <v>0</v>
      </c>
      <c r="Z87" t="n">
        <v>0</v>
      </c>
      <c r="AA87" t="n">
        <v>1</v>
      </c>
      <c r="AB87" t="n">
        <v>0</v>
      </c>
    </row>
    <row r="88">
      <c r="A88" t="n">
        <v>87</v>
      </c>
      <c r="B88" t="n">
        <v>2</v>
      </c>
      <c r="C88" t="n">
        <v>1</v>
      </c>
      <c r="D88" t="n">
        <v>3</v>
      </c>
      <c r="E88" t="n">
        <v>1</v>
      </c>
      <c r="F88" t="n">
        <v>1</v>
      </c>
      <c r="G88" t="n">
        <v>2</v>
      </c>
      <c r="H88" t="n">
        <v>9</v>
      </c>
      <c r="I88" t="n">
        <v>2</v>
      </c>
      <c r="J88" t="n">
        <v>6</v>
      </c>
      <c r="K88" t="n">
        <v>1</v>
      </c>
      <c r="L88" t="n">
        <v>3</v>
      </c>
      <c r="M88" t="n">
        <v>6</v>
      </c>
      <c r="N88" t="n">
        <v>4</v>
      </c>
      <c r="O88" t="n">
        <v>4</v>
      </c>
      <c r="P88" t="n">
        <v>6</v>
      </c>
      <c r="Q88" t="n">
        <v>4</v>
      </c>
      <c r="R88" t="n">
        <v>6</v>
      </c>
      <c r="S88" t="n">
        <v>1</v>
      </c>
      <c r="T88" t="n">
        <v>3</v>
      </c>
      <c r="U88" t="n">
        <v>4</v>
      </c>
      <c r="V88" t="n">
        <v>1</v>
      </c>
      <c r="W88" t="n">
        <v>2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n">
        <v>88</v>
      </c>
      <c r="B89" t="n">
        <v>2</v>
      </c>
      <c r="C89" t="n">
        <v>2</v>
      </c>
      <c r="D89" t="n">
        <v>1</v>
      </c>
      <c r="E89" t="n">
        <v>1</v>
      </c>
      <c r="F89" t="n">
        <v>1</v>
      </c>
      <c r="G89" t="n">
        <v>3</v>
      </c>
      <c r="H89" t="n">
        <v>33</v>
      </c>
      <c r="I89" t="n">
        <v>3</v>
      </c>
      <c r="J89" t="n">
        <v>4</v>
      </c>
      <c r="K89" t="n">
        <v>3</v>
      </c>
      <c r="L89" t="n">
        <v>5</v>
      </c>
      <c r="M89" t="n">
        <v>2</v>
      </c>
      <c r="N89" t="n">
        <v>1</v>
      </c>
      <c r="O89" t="n">
        <v>3</v>
      </c>
      <c r="P89" t="n">
        <v>7</v>
      </c>
      <c r="Q89" t="n">
        <v>5</v>
      </c>
      <c r="R89" t="n">
        <v>4</v>
      </c>
      <c r="S89" t="n">
        <v>3</v>
      </c>
      <c r="T89" t="n">
        <v>5</v>
      </c>
      <c r="U89" t="n">
        <v>2</v>
      </c>
      <c r="V89" t="n">
        <v>3</v>
      </c>
      <c r="W89" t="n">
        <v>2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</row>
    <row r="90">
      <c r="A90" t="n">
        <v>89</v>
      </c>
      <c r="B90" t="n">
        <v>2</v>
      </c>
      <c r="C90" t="n">
        <v>1</v>
      </c>
      <c r="D90" t="n">
        <v>2</v>
      </c>
      <c r="E90" t="n">
        <v>3</v>
      </c>
      <c r="F90" t="n">
        <v>2</v>
      </c>
      <c r="G90" t="n">
        <v>1</v>
      </c>
      <c r="H90" t="n">
        <v>41</v>
      </c>
      <c r="I90" t="n">
        <v>1</v>
      </c>
      <c r="J90" t="n">
        <v>1</v>
      </c>
      <c r="K90" t="n">
        <v>3</v>
      </c>
      <c r="L90" t="n">
        <v>4</v>
      </c>
      <c r="M90" t="n">
        <v>7</v>
      </c>
      <c r="N90" t="n">
        <v>2</v>
      </c>
      <c r="O90" t="n">
        <v>2</v>
      </c>
      <c r="P90" t="n">
        <v>6</v>
      </c>
      <c r="Q90" t="n">
        <v>4</v>
      </c>
      <c r="R90" t="n">
        <v>5</v>
      </c>
      <c r="S90" t="n">
        <v>3</v>
      </c>
      <c r="T90" t="n">
        <v>3</v>
      </c>
      <c r="U90" t="n">
        <v>5</v>
      </c>
      <c r="V90" t="n">
        <v>3</v>
      </c>
      <c r="W90" t="n">
        <v>3</v>
      </c>
      <c r="X90" t="n">
        <v>1</v>
      </c>
      <c r="Y90" t="n">
        <v>1</v>
      </c>
      <c r="Z90" t="n">
        <v>1</v>
      </c>
      <c r="AA90" t="n">
        <v>0</v>
      </c>
      <c r="AB90" t="n">
        <v>0</v>
      </c>
    </row>
    <row r="91">
      <c r="A91" t="n">
        <v>90</v>
      </c>
      <c r="B91" t="n">
        <v>2</v>
      </c>
      <c r="C91" t="n">
        <v>2</v>
      </c>
      <c r="D91" t="n">
        <v>1</v>
      </c>
      <c r="E91" t="n">
        <v>3</v>
      </c>
      <c r="F91" t="n">
        <v>1</v>
      </c>
      <c r="G91" t="n">
        <v>2</v>
      </c>
      <c r="H91" t="n">
        <v>30</v>
      </c>
      <c r="I91" t="n">
        <v>3</v>
      </c>
      <c r="J91" t="n">
        <v>2</v>
      </c>
      <c r="K91" t="n">
        <v>2</v>
      </c>
      <c r="L91" t="n">
        <v>2</v>
      </c>
      <c r="M91" t="n">
        <v>5</v>
      </c>
      <c r="N91" t="n">
        <v>5</v>
      </c>
      <c r="O91" t="n">
        <v>4</v>
      </c>
      <c r="P91" t="n">
        <v>4</v>
      </c>
      <c r="Q91" t="n">
        <v>2</v>
      </c>
      <c r="R91" t="n">
        <v>2</v>
      </c>
      <c r="S91" t="n">
        <v>3</v>
      </c>
      <c r="T91" t="n">
        <v>1</v>
      </c>
      <c r="U91" t="n">
        <v>3</v>
      </c>
      <c r="V91" t="n">
        <v>2</v>
      </c>
      <c r="W91" t="n">
        <v>2</v>
      </c>
      <c r="X91" t="n">
        <v>0</v>
      </c>
      <c r="Y91" t="n">
        <v>1</v>
      </c>
      <c r="Z91" t="n">
        <v>0</v>
      </c>
      <c r="AA91" t="n">
        <v>1</v>
      </c>
      <c r="AB91" t="n">
        <v>0</v>
      </c>
    </row>
    <row r="92">
      <c r="A92" t="n">
        <v>91</v>
      </c>
      <c r="B92" t="n">
        <v>2</v>
      </c>
      <c r="C92" t="n">
        <v>2</v>
      </c>
      <c r="D92" t="n">
        <v>2</v>
      </c>
      <c r="E92" t="n">
        <v>2</v>
      </c>
      <c r="F92" t="n">
        <v>1</v>
      </c>
      <c r="G92" t="n">
        <v>2</v>
      </c>
      <c r="H92" t="n">
        <v>47</v>
      </c>
      <c r="I92" t="n">
        <v>3</v>
      </c>
      <c r="J92" t="n">
        <v>3</v>
      </c>
      <c r="K92" t="n">
        <v>7</v>
      </c>
      <c r="L92" t="n">
        <v>1</v>
      </c>
      <c r="M92" t="n">
        <v>5</v>
      </c>
      <c r="N92" t="n">
        <v>5</v>
      </c>
      <c r="O92" t="n">
        <v>4</v>
      </c>
      <c r="P92" t="n">
        <v>5</v>
      </c>
      <c r="Q92" t="n">
        <v>5</v>
      </c>
      <c r="R92" t="n">
        <v>5</v>
      </c>
      <c r="S92" t="n">
        <v>4</v>
      </c>
      <c r="T92" t="n">
        <v>3</v>
      </c>
      <c r="U92" t="n">
        <v>1</v>
      </c>
      <c r="V92" t="n">
        <v>2</v>
      </c>
      <c r="W92" t="n">
        <v>2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</row>
    <row r="93">
      <c r="A93" t="n">
        <v>92</v>
      </c>
      <c r="B93" t="n">
        <v>2</v>
      </c>
      <c r="C93" t="n">
        <v>1</v>
      </c>
      <c r="D93" t="n">
        <v>3</v>
      </c>
      <c r="E93" t="n">
        <v>2</v>
      </c>
      <c r="F93" t="n">
        <v>1</v>
      </c>
      <c r="G93" t="n">
        <v>1</v>
      </c>
      <c r="H93" t="n">
        <v>24</v>
      </c>
      <c r="I93" t="n">
        <v>4</v>
      </c>
      <c r="J93" t="n">
        <v>3</v>
      </c>
      <c r="K93" t="n">
        <v>3</v>
      </c>
      <c r="L93" t="n">
        <v>2</v>
      </c>
      <c r="M93" t="n">
        <v>5</v>
      </c>
      <c r="N93" t="n">
        <v>4</v>
      </c>
      <c r="O93" t="n">
        <v>4</v>
      </c>
      <c r="P93" t="n">
        <v>5</v>
      </c>
      <c r="Q93" t="n">
        <v>3</v>
      </c>
      <c r="R93" t="n">
        <v>3</v>
      </c>
      <c r="S93" t="n">
        <v>2</v>
      </c>
      <c r="T93" t="n">
        <v>1</v>
      </c>
      <c r="U93" t="n">
        <v>1</v>
      </c>
      <c r="V93" t="n">
        <v>3</v>
      </c>
      <c r="W93" t="n">
        <v>5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</row>
    <row r="94">
      <c r="A94" t="n">
        <v>93</v>
      </c>
      <c r="B94" t="n">
        <v>2</v>
      </c>
      <c r="C94" t="n">
        <v>1</v>
      </c>
      <c r="D94" t="n">
        <v>4</v>
      </c>
      <c r="E94" t="n">
        <v>2</v>
      </c>
      <c r="F94" t="n">
        <v>2</v>
      </c>
      <c r="G94" t="n">
        <v>2</v>
      </c>
      <c r="H94" t="n">
        <v>13</v>
      </c>
      <c r="I94" t="n">
        <v>5</v>
      </c>
      <c r="J94" t="n">
        <v>3</v>
      </c>
      <c r="K94" t="n">
        <v>5</v>
      </c>
      <c r="L94" t="n">
        <v>4</v>
      </c>
      <c r="M94" t="n">
        <v>6</v>
      </c>
      <c r="N94" t="n">
        <v>2</v>
      </c>
      <c r="O94" t="n">
        <v>4</v>
      </c>
      <c r="P94" t="n">
        <v>1</v>
      </c>
      <c r="Q94" t="n">
        <v>5</v>
      </c>
      <c r="R94" t="n">
        <v>3</v>
      </c>
      <c r="S94" t="n">
        <v>4</v>
      </c>
      <c r="T94" t="n">
        <v>2</v>
      </c>
      <c r="U94" t="n">
        <v>4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0</v>
      </c>
    </row>
    <row r="95">
      <c r="A95" t="n">
        <v>94</v>
      </c>
      <c r="B95" t="n">
        <v>2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14</v>
      </c>
      <c r="I95" t="n">
        <v>1</v>
      </c>
      <c r="J95" t="n">
        <v>3</v>
      </c>
      <c r="K95" t="n">
        <v>7</v>
      </c>
      <c r="L95" t="n">
        <v>1</v>
      </c>
      <c r="M95" t="n">
        <v>6</v>
      </c>
      <c r="N95" t="n">
        <v>6</v>
      </c>
      <c r="O95" t="n">
        <v>5</v>
      </c>
      <c r="P95" t="n">
        <v>6</v>
      </c>
      <c r="Q95" t="n">
        <v>1</v>
      </c>
      <c r="R95" t="n">
        <v>7</v>
      </c>
      <c r="S95" t="n">
        <v>3</v>
      </c>
      <c r="T95" t="n">
        <v>2</v>
      </c>
      <c r="U95" t="n">
        <v>2</v>
      </c>
      <c r="V95" t="n">
        <v>5</v>
      </c>
      <c r="W95" t="n">
        <v>1</v>
      </c>
      <c r="X95" t="n">
        <v>1</v>
      </c>
      <c r="Y95" t="n">
        <v>0</v>
      </c>
      <c r="Z95" t="n">
        <v>0</v>
      </c>
      <c r="AA95" t="n">
        <v>1</v>
      </c>
      <c r="AB95" t="n">
        <v>0</v>
      </c>
    </row>
    <row r="96">
      <c r="A96" t="n">
        <v>95</v>
      </c>
      <c r="B96" t="n">
        <v>2</v>
      </c>
      <c r="C96" t="n">
        <v>2</v>
      </c>
      <c r="D96" t="n">
        <v>1</v>
      </c>
      <c r="E96" t="n">
        <v>1</v>
      </c>
      <c r="F96" t="n">
        <v>2</v>
      </c>
      <c r="G96" t="n">
        <v>2</v>
      </c>
      <c r="H96" t="n">
        <v>50</v>
      </c>
      <c r="I96" t="n">
        <v>3</v>
      </c>
      <c r="J96" t="n">
        <v>1</v>
      </c>
      <c r="K96" t="n">
        <v>2</v>
      </c>
      <c r="L96" t="n">
        <v>1</v>
      </c>
      <c r="M96" t="n">
        <v>1</v>
      </c>
      <c r="N96" t="n">
        <v>6</v>
      </c>
      <c r="O96" t="n">
        <v>4</v>
      </c>
      <c r="P96" t="n">
        <v>4</v>
      </c>
      <c r="Q96" t="n">
        <v>2</v>
      </c>
      <c r="R96" t="n">
        <v>5</v>
      </c>
      <c r="S96" t="n">
        <v>5</v>
      </c>
      <c r="T96" t="n">
        <v>2</v>
      </c>
      <c r="U96" t="n">
        <v>5</v>
      </c>
      <c r="V96" t="n">
        <v>3</v>
      </c>
      <c r="W96" t="n">
        <v>2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</row>
    <row r="97">
      <c r="A97" t="n">
        <v>96</v>
      </c>
      <c r="B97" t="n">
        <v>2</v>
      </c>
      <c r="C97" t="n">
        <v>1</v>
      </c>
      <c r="D97" t="n">
        <v>2</v>
      </c>
      <c r="E97" t="n">
        <v>2</v>
      </c>
      <c r="F97" t="n">
        <v>1</v>
      </c>
      <c r="G97" t="n">
        <v>1</v>
      </c>
      <c r="H97" t="n">
        <v>21</v>
      </c>
      <c r="I97" t="n">
        <v>1</v>
      </c>
      <c r="J97" t="n">
        <v>3</v>
      </c>
      <c r="K97" t="n">
        <v>4</v>
      </c>
      <c r="L97" t="n">
        <v>3</v>
      </c>
      <c r="M97" t="n">
        <v>7</v>
      </c>
      <c r="N97" t="n">
        <v>4</v>
      </c>
      <c r="O97" t="n">
        <v>1</v>
      </c>
      <c r="P97" t="n">
        <v>1</v>
      </c>
      <c r="Q97" t="n">
        <v>5</v>
      </c>
      <c r="R97" t="n">
        <v>5</v>
      </c>
      <c r="S97" t="n">
        <v>1</v>
      </c>
      <c r="T97" t="n">
        <v>3</v>
      </c>
      <c r="U97" t="n">
        <v>4</v>
      </c>
      <c r="V97" t="n">
        <v>3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</row>
    <row r="98">
      <c r="A98" t="n">
        <v>97</v>
      </c>
      <c r="B98" t="n">
        <v>2</v>
      </c>
      <c r="C98" t="n">
        <v>1</v>
      </c>
      <c r="D98" t="n">
        <v>2</v>
      </c>
      <c r="E98" t="n">
        <v>2</v>
      </c>
      <c r="F98" t="n">
        <v>1</v>
      </c>
      <c r="G98" t="n">
        <v>2</v>
      </c>
      <c r="H98" t="n">
        <v>32</v>
      </c>
      <c r="I98" t="n">
        <v>4</v>
      </c>
      <c r="J98" t="n">
        <v>2</v>
      </c>
      <c r="K98" t="n">
        <v>1</v>
      </c>
      <c r="L98" t="n">
        <v>3</v>
      </c>
      <c r="M98" t="n">
        <v>1</v>
      </c>
      <c r="N98" t="n">
        <v>4</v>
      </c>
      <c r="O98" t="n">
        <v>5</v>
      </c>
      <c r="P98" t="n">
        <v>4</v>
      </c>
      <c r="Q98" t="n">
        <v>2</v>
      </c>
      <c r="R98" t="n">
        <v>4</v>
      </c>
      <c r="S98" t="n">
        <v>3</v>
      </c>
      <c r="T98" t="n">
        <v>3</v>
      </c>
      <c r="U98" t="n">
        <v>5</v>
      </c>
      <c r="V98" t="n">
        <v>4</v>
      </c>
      <c r="W98" t="n">
        <v>2</v>
      </c>
      <c r="X98" t="n">
        <v>1</v>
      </c>
      <c r="Y98" t="n">
        <v>1</v>
      </c>
      <c r="Z98" t="n">
        <v>1</v>
      </c>
      <c r="AA98" t="n">
        <v>1</v>
      </c>
      <c r="AB98" t="n">
        <v>0</v>
      </c>
    </row>
    <row r="99">
      <c r="A99" t="n">
        <v>98</v>
      </c>
      <c r="B99" t="n">
        <v>2</v>
      </c>
      <c r="C99" t="n">
        <v>2</v>
      </c>
      <c r="D99" t="n">
        <v>2</v>
      </c>
      <c r="E99" t="n">
        <v>3</v>
      </c>
      <c r="F99" t="n">
        <v>1</v>
      </c>
      <c r="G99" t="n">
        <v>2</v>
      </c>
      <c r="H99" t="n">
        <v>21</v>
      </c>
      <c r="I99" t="n">
        <v>1</v>
      </c>
      <c r="J99" t="n">
        <v>2</v>
      </c>
      <c r="K99" t="n">
        <v>1</v>
      </c>
      <c r="L99" t="n">
        <v>2</v>
      </c>
      <c r="M99" t="n">
        <v>5</v>
      </c>
      <c r="N99" t="n">
        <v>1</v>
      </c>
      <c r="O99" t="n">
        <v>1</v>
      </c>
      <c r="P99" t="n">
        <v>6</v>
      </c>
      <c r="Q99" t="n">
        <v>5</v>
      </c>
      <c r="R99" t="n">
        <v>7</v>
      </c>
      <c r="S99" t="n">
        <v>3</v>
      </c>
      <c r="T99" t="n">
        <v>2</v>
      </c>
      <c r="U99" t="n">
        <v>4</v>
      </c>
      <c r="V99" t="n">
        <v>2</v>
      </c>
      <c r="W99" t="n">
        <v>5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</row>
    <row r="100">
      <c r="A100" t="n">
        <v>99</v>
      </c>
      <c r="B100" t="n">
        <v>2</v>
      </c>
      <c r="C100" t="n">
        <v>1</v>
      </c>
      <c r="D100" t="n">
        <v>1</v>
      </c>
      <c r="E100" t="n">
        <v>1</v>
      </c>
      <c r="F100" t="n">
        <v>1</v>
      </c>
      <c r="G100" t="n">
        <v>2</v>
      </c>
      <c r="H100" t="n">
        <v>41</v>
      </c>
      <c r="I100" t="n">
        <v>5</v>
      </c>
      <c r="J100" t="n">
        <v>6</v>
      </c>
      <c r="K100" t="n">
        <v>2</v>
      </c>
      <c r="L100" t="n">
        <v>1</v>
      </c>
      <c r="M100" t="n">
        <v>2</v>
      </c>
      <c r="N100" t="n">
        <v>6</v>
      </c>
      <c r="O100" t="n">
        <v>3</v>
      </c>
      <c r="P100" t="n">
        <v>1</v>
      </c>
      <c r="Q100" t="n">
        <v>5</v>
      </c>
      <c r="R100" t="n">
        <v>4</v>
      </c>
      <c r="S100" t="n">
        <v>3</v>
      </c>
      <c r="T100" t="n">
        <v>2</v>
      </c>
      <c r="U100" t="n">
        <v>2</v>
      </c>
      <c r="V100" t="n">
        <v>1</v>
      </c>
      <c r="W100" t="n">
        <v>1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</row>
    <row r="101">
      <c r="A101" t="n">
        <v>100</v>
      </c>
      <c r="B101" t="n">
        <v>2</v>
      </c>
      <c r="C101" t="n">
        <v>1</v>
      </c>
      <c r="D101" t="n">
        <v>3</v>
      </c>
      <c r="E101" t="n">
        <v>2</v>
      </c>
      <c r="F101" t="n">
        <v>1</v>
      </c>
      <c r="G101" t="n">
        <v>2</v>
      </c>
      <c r="H101" t="n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H28" sqref="H28"/>
    </sheetView>
  </sheetViews>
  <sheetFormatPr baseColWidth="10" defaultRowHeight="16"/>
  <cols>
    <col width="11.5" bestFit="1" customWidth="1" min="15" max="15"/>
  </cols>
  <sheetData>
    <row r="1">
      <c r="A1" t="inlineStr">
        <is>
          <t>Criteria</t>
        </is>
      </c>
      <c r="B1" t="inlineStr">
        <is>
          <t>Column</t>
        </is>
      </c>
      <c r="C1" t="inlineStr">
        <is>
          <t>Code</t>
        </is>
      </c>
      <c r="D1" t="inlineStr">
        <is>
          <t>Quota_Base</t>
        </is>
      </c>
      <c r="E1" t="inlineStr">
        <is>
          <t>Quota_OS</t>
        </is>
      </c>
      <c r="F1" t="inlineStr">
        <is>
          <t>Flex</t>
        </is>
      </c>
    </row>
    <row r="3">
      <c r="A3" t="inlineStr">
        <is>
          <t>Gender</t>
        </is>
      </c>
    </row>
    <row r="4">
      <c r="A4" t="inlineStr">
        <is>
          <t>Male</t>
        </is>
      </c>
      <c r="B4" t="inlineStr">
        <is>
          <t>gender</t>
        </is>
      </c>
      <c r="C4" t="n">
        <v>1</v>
      </c>
      <c r="D4" s="3" t="n">
        <v>0.49</v>
      </c>
      <c r="E4" s="3" t="n">
        <v>0.49</v>
      </c>
    </row>
    <row r="5">
      <c r="A5" t="inlineStr">
        <is>
          <t>Female</t>
        </is>
      </c>
      <c r="B5" t="inlineStr">
        <is>
          <t>gender</t>
        </is>
      </c>
      <c r="C5" t="n">
        <v>2</v>
      </c>
      <c r="D5" s="3" t="n">
        <v>0.51</v>
      </c>
      <c r="E5" s="3" t="n">
        <v>0.51</v>
      </c>
    </row>
    <row r="7">
      <c r="A7" t="inlineStr">
        <is>
          <t>Age</t>
        </is>
      </c>
    </row>
    <row r="8">
      <c r="A8" t="inlineStr">
        <is>
          <t>18-29</t>
        </is>
      </c>
      <c r="B8" t="inlineStr">
        <is>
          <t>age</t>
        </is>
      </c>
      <c r="C8" t="n">
        <v>1</v>
      </c>
      <c r="D8" s="3" t="n">
        <v>0.2</v>
      </c>
      <c r="E8" s="3" t="n">
        <v>0.2</v>
      </c>
    </row>
    <row r="9">
      <c r="A9" t="inlineStr">
        <is>
          <t>30-39</t>
        </is>
      </c>
      <c r="B9" t="inlineStr">
        <is>
          <t>age</t>
        </is>
      </c>
      <c r="C9" t="n">
        <v>2</v>
      </c>
      <c r="D9" s="3" t="n">
        <v>0.2</v>
      </c>
      <c r="E9" s="3" t="n">
        <v>0.2</v>
      </c>
    </row>
    <row r="10">
      <c r="A10" t="inlineStr">
        <is>
          <t>40-49</t>
        </is>
      </c>
      <c r="B10" t="inlineStr">
        <is>
          <t>age</t>
        </is>
      </c>
      <c r="C10" t="n">
        <v>3</v>
      </c>
      <c r="D10" s="3" t="n">
        <v>0.2</v>
      </c>
      <c r="E10" s="3" t="n">
        <v>0.2</v>
      </c>
    </row>
    <row r="11">
      <c r="A11" t="inlineStr">
        <is>
          <t>50-59</t>
        </is>
      </c>
      <c r="B11" t="inlineStr">
        <is>
          <t>age</t>
        </is>
      </c>
      <c r="C11" t="n">
        <v>4</v>
      </c>
      <c r="D11" s="3" t="n">
        <v>0.2</v>
      </c>
      <c r="E11" s="3" t="n">
        <v>0.2</v>
      </c>
      <c r="O11" s="1" t="n"/>
    </row>
    <row r="12">
      <c r="A12" t="inlineStr">
        <is>
          <t>60+</t>
        </is>
      </c>
      <c r="B12" t="inlineStr">
        <is>
          <t>age</t>
        </is>
      </c>
      <c r="C12" t="n">
        <v>5</v>
      </c>
      <c r="D12" s="3" t="n">
        <v>0.2</v>
      </c>
      <c r="E12" s="3" t="n">
        <v>0.2</v>
      </c>
    </row>
    <row r="14">
      <c r="A14" t="inlineStr">
        <is>
          <t>Ethnicity</t>
        </is>
      </c>
    </row>
    <row r="15">
      <c r="A15" t="inlineStr">
        <is>
          <t>White</t>
        </is>
      </c>
      <c r="B15" t="inlineStr">
        <is>
          <t>ethnicity</t>
        </is>
      </c>
      <c r="C15" t="n">
        <v>1</v>
      </c>
      <c r="D15" s="3" t="n">
        <v>0.4</v>
      </c>
      <c r="E15" s="3" t="n">
        <v>0.4</v>
      </c>
    </row>
    <row r="16">
      <c r="A16" t="inlineStr">
        <is>
          <t>Black</t>
        </is>
      </c>
      <c r="B16" t="inlineStr">
        <is>
          <t>ethnicity</t>
        </is>
      </c>
      <c r="C16" t="n">
        <v>2</v>
      </c>
      <c r="D16" s="3" t="n">
        <v>0.2</v>
      </c>
      <c r="E16" s="3" t="n">
        <v>0.2</v>
      </c>
    </row>
    <row r="17">
      <c r="A17" t="inlineStr">
        <is>
          <t>Hispanic</t>
        </is>
      </c>
      <c r="B17" t="inlineStr">
        <is>
          <t>ethnicity</t>
        </is>
      </c>
      <c r="C17" t="n">
        <v>3</v>
      </c>
      <c r="D17" s="3" t="n">
        <v>0.3</v>
      </c>
      <c r="E17" s="3" t="n">
        <v>0.3</v>
      </c>
    </row>
    <row r="18">
      <c r="A18" t="inlineStr">
        <is>
          <t>Asian</t>
        </is>
      </c>
      <c r="B18" t="inlineStr">
        <is>
          <t>ethnicity</t>
        </is>
      </c>
      <c r="C18" t="n">
        <v>4</v>
      </c>
      <c r="D18" s="3" t="n">
        <v>0.1</v>
      </c>
      <c r="E18" s="3" t="n">
        <v>0.1</v>
      </c>
    </row>
    <row r="20">
      <c r="A20" t="inlineStr">
        <is>
          <t>Party</t>
        </is>
      </c>
    </row>
    <row r="21">
      <c r="A21" t="inlineStr">
        <is>
          <t>Democrat</t>
        </is>
      </c>
      <c r="B21" t="inlineStr">
        <is>
          <t>party</t>
        </is>
      </c>
      <c r="C21" t="n">
        <v>1</v>
      </c>
      <c r="D21" s="3" t="n">
        <v>0.4</v>
      </c>
      <c r="E21" s="3" t="n">
        <v>0.4</v>
      </c>
    </row>
    <row r="22">
      <c r="A22" t="inlineStr">
        <is>
          <t>Republican</t>
        </is>
      </c>
      <c r="B22" t="inlineStr">
        <is>
          <t>party</t>
        </is>
      </c>
      <c r="C22" t="n">
        <v>2</v>
      </c>
      <c r="D22" s="3" t="n">
        <v>0.4</v>
      </c>
      <c r="E22" s="3" t="n">
        <v>0.4</v>
      </c>
    </row>
    <row r="23">
      <c r="A23" t="inlineStr">
        <is>
          <t>Independence</t>
        </is>
      </c>
      <c r="B23" t="inlineStr">
        <is>
          <t>party</t>
        </is>
      </c>
      <c r="C23" t="n">
        <v>3</v>
      </c>
      <c r="D23" s="3" t="n">
        <v>0.1</v>
      </c>
      <c r="E23" s="3" t="n">
        <v>0.1</v>
      </c>
    </row>
    <row r="25">
      <c r="A25" t="inlineStr">
        <is>
          <t>State</t>
        </is>
      </c>
    </row>
    <row r="26">
      <c r="A26" t="inlineStr">
        <is>
          <t>AZ</t>
        </is>
      </c>
      <c r="B26" t="inlineStr">
        <is>
          <t>state</t>
        </is>
      </c>
      <c r="C26" t="n">
        <v>1</v>
      </c>
      <c r="D26" s="3" t="n">
        <v>0.1</v>
      </c>
      <c r="E26" s="3" t="n">
        <v>0.1</v>
      </c>
    </row>
    <row r="27">
      <c r="A27" t="inlineStr">
        <is>
          <t>CA</t>
        </is>
      </c>
      <c r="B27" t="inlineStr">
        <is>
          <t>state</t>
        </is>
      </c>
      <c r="C27" s="2" t="inlineStr">
        <is>
          <t>2:4</t>
        </is>
      </c>
      <c r="D27" s="3" t="n">
        <v>0.1</v>
      </c>
      <c r="E27" s="3" t="n">
        <v>0.1</v>
      </c>
    </row>
    <row r="28">
      <c r="A28" t="inlineStr">
        <is>
          <t>TX</t>
        </is>
      </c>
      <c r="B28" t="inlineStr">
        <is>
          <t>state</t>
        </is>
      </c>
      <c r="C28" t="inlineStr">
        <is>
          <t>5,6</t>
        </is>
      </c>
      <c r="D28" s="3" t="n">
        <v>0.1</v>
      </c>
      <c r="E28" s="3" t="n">
        <v>0.1</v>
      </c>
    </row>
    <row r="29">
      <c r="A29" t="inlineStr">
        <is>
          <t>MI</t>
        </is>
      </c>
      <c r="B29" t="inlineStr">
        <is>
          <t>state</t>
        </is>
      </c>
      <c r="C29" s="2" t="inlineStr">
        <is>
          <t>7:9</t>
        </is>
      </c>
      <c r="D29" s="3" t="n">
        <v>0.1</v>
      </c>
      <c r="E29" s="3" t="n">
        <v>0.1</v>
      </c>
    </row>
    <row r="30">
      <c r="A30" t="inlineStr">
        <is>
          <t>FL</t>
        </is>
      </c>
      <c r="B30" t="inlineStr">
        <is>
          <t>state</t>
        </is>
      </c>
      <c r="C30" t="n">
        <v>10</v>
      </c>
      <c r="D30" s="3" t="n">
        <v>0.1</v>
      </c>
      <c r="E30" s="3" t="n">
        <v>0.1</v>
      </c>
    </row>
    <row r="31">
      <c r="A31" t="inlineStr">
        <is>
          <t>NY</t>
        </is>
      </c>
      <c r="B31" t="inlineStr">
        <is>
          <t>state</t>
        </is>
      </c>
      <c r="C31" t="n">
        <v>11</v>
      </c>
      <c r="D31" s="3" t="n">
        <v>0.1</v>
      </c>
      <c r="E31" s="3" t="n">
        <v>0.1</v>
      </c>
    </row>
    <row r="32">
      <c r="A32" t="inlineStr">
        <is>
          <t>OH</t>
        </is>
      </c>
      <c r="B32" t="inlineStr">
        <is>
          <t>state</t>
        </is>
      </c>
      <c r="C32" t="n">
        <v>12</v>
      </c>
      <c r="D32" s="3" t="n">
        <v>0.1</v>
      </c>
      <c r="E32" s="3" t="n">
        <v>0.1</v>
      </c>
    </row>
    <row r="33">
      <c r="A33" t="inlineStr">
        <is>
          <t>Other</t>
        </is>
      </c>
      <c r="B33" t="inlineStr">
        <is>
          <t>state</t>
        </is>
      </c>
      <c r="C33" s="2" t="inlineStr">
        <is>
          <t>13:50</t>
        </is>
      </c>
      <c r="D33" s="3" t="n">
        <v>0.3</v>
      </c>
      <c r="E33" s="3" t="n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Criteria</t>
        </is>
      </c>
      <c r="B1" s="5" t="inlineStr">
        <is>
          <t>Code</t>
        </is>
      </c>
      <c r="C1" s="5" t="inlineStr"/>
      <c r="D1" s="5" t="inlineStr">
        <is>
          <t>Quota_Base</t>
        </is>
      </c>
      <c r="E1" s="5" t="inlineStr">
        <is>
          <t>Need_Base</t>
        </is>
      </c>
      <c r="F1" s="5" t="inlineStr">
        <is>
          <t>Have_Base</t>
        </is>
      </c>
      <c r="G1" s="5" t="inlineStr">
        <is>
          <t>Percent_Base</t>
        </is>
      </c>
      <c r="H1" s="5" t="inlineStr">
        <is>
          <t>Diff_Base</t>
        </is>
      </c>
      <c r="I1" s="5" t="inlineStr">
        <is>
          <t>End Need_Base</t>
        </is>
      </c>
      <c r="J1" s="5" t="inlineStr">
        <is>
          <t>End Diff_Base</t>
        </is>
      </c>
      <c r="K1" s="5" t="inlineStr"/>
      <c r="L1" s="5" t="inlineStr">
        <is>
          <t>Quota_OS</t>
        </is>
      </c>
      <c r="M1" s="5" t="inlineStr">
        <is>
          <t>Need_OS</t>
        </is>
      </c>
      <c r="N1" s="5" t="inlineStr">
        <is>
          <t>Have_OS</t>
        </is>
      </c>
      <c r="O1" s="5" t="inlineStr">
        <is>
          <t>Percent_OS</t>
        </is>
      </c>
      <c r="P1" s="5" t="inlineStr">
        <is>
          <t>Diff_OS</t>
        </is>
      </c>
      <c r="Q1" s="5" t="inlineStr">
        <is>
          <t>End Need_OS</t>
        </is>
      </c>
      <c r="R1" s="5" t="inlineStr">
        <is>
          <t>End Diff_OS</t>
        </is>
      </c>
      <c r="S1" s="5" t="inlineStr"/>
    </row>
    <row r="2">
      <c r="A2" s="18" t="inlineStr"/>
      <c r="B2" s="19" t="inlineStr"/>
      <c r="C2" s="19" t="inlineStr"/>
      <c r="D2" s="20" t="inlineStr"/>
      <c r="E2" s="21" t="n">
        <v>100</v>
      </c>
      <c r="F2" s="19" t="inlineStr">
        <is>
          <t>Base</t>
        </is>
      </c>
      <c r="G2" s="20" t="inlineStr"/>
      <c r="H2" s="20" t="inlineStr"/>
      <c r="I2" s="21" t="n">
        <v>250</v>
      </c>
      <c r="J2" s="22" t="inlineStr"/>
      <c r="K2" s="19" t="inlineStr"/>
      <c r="L2" s="20" t="inlineStr"/>
      <c r="M2" s="21" t="n">
        <v>100</v>
      </c>
      <c r="N2" s="19" t="inlineStr">
        <is>
          <t>OS</t>
        </is>
      </c>
      <c r="O2" s="20" t="inlineStr"/>
      <c r="P2" s="20" t="inlineStr"/>
      <c r="Q2" s="21" t="n">
        <v>250</v>
      </c>
      <c r="R2" s="22" t="inlineStr"/>
      <c r="S2" s="19" t="inlineStr"/>
    </row>
    <row r="3">
      <c r="A3" s="23" t="inlineStr">
        <is>
          <t>Criteria</t>
        </is>
      </c>
      <c r="B3" s="24" t="inlineStr">
        <is>
          <t>Code</t>
        </is>
      </c>
      <c r="C3" s="24" t="inlineStr"/>
      <c r="D3" s="25" t="inlineStr">
        <is>
          <t>Quota</t>
        </is>
      </c>
      <c r="E3" s="26" t="inlineStr">
        <is>
          <t>Need</t>
        </is>
      </c>
      <c r="F3" s="24" t="inlineStr">
        <is>
          <t>Have</t>
        </is>
      </c>
      <c r="G3" s="25" t="inlineStr">
        <is>
          <t>Percent</t>
        </is>
      </c>
      <c r="H3" s="25" t="inlineStr">
        <is>
          <t>Diff</t>
        </is>
      </c>
      <c r="I3" s="26" t="inlineStr">
        <is>
          <t>End Need</t>
        </is>
      </c>
      <c r="J3" s="26" t="inlineStr">
        <is>
          <t>End Diff</t>
        </is>
      </c>
      <c r="K3" s="24" t="inlineStr"/>
      <c r="L3" s="25" t="inlineStr">
        <is>
          <t>Quota</t>
        </is>
      </c>
      <c r="M3" s="26" t="inlineStr">
        <is>
          <t>Need</t>
        </is>
      </c>
      <c r="N3" s="24" t="inlineStr">
        <is>
          <t>Have</t>
        </is>
      </c>
      <c r="O3" s="25" t="inlineStr">
        <is>
          <t>Percent</t>
        </is>
      </c>
      <c r="P3" s="25" t="inlineStr">
        <is>
          <t>Diff</t>
        </is>
      </c>
      <c r="Q3" s="26" t="inlineStr">
        <is>
          <t>End Need</t>
        </is>
      </c>
      <c r="R3" s="26" t="inlineStr">
        <is>
          <t>End Diff</t>
        </is>
      </c>
      <c r="S3" s="24" t="inlineStr"/>
    </row>
    <row r="4">
      <c r="A4" s="23" t="inlineStr">
        <is>
          <t>Gender</t>
        </is>
      </c>
      <c r="B4" s="24" t="inlineStr">
        <is>
          <t>gender</t>
        </is>
      </c>
      <c r="C4" s="24" t="inlineStr"/>
      <c r="D4" s="25" t="inlineStr"/>
      <c r="E4" s="26" t="inlineStr"/>
      <c r="F4" s="24" t="inlineStr"/>
      <c r="G4" s="25" t="inlineStr"/>
      <c r="H4" s="25" t="inlineStr"/>
      <c r="I4" s="26" t="inlineStr"/>
      <c r="J4" s="26" t="inlineStr"/>
      <c r="K4" s="24" t="inlineStr"/>
      <c r="L4" s="25" t="inlineStr"/>
      <c r="M4" s="26" t="inlineStr"/>
      <c r="N4" s="24" t="inlineStr"/>
      <c r="O4" s="25" t="inlineStr"/>
      <c r="P4" s="25" t="inlineStr"/>
      <c r="Q4" s="26" t="inlineStr"/>
      <c r="R4" s="26" t="inlineStr"/>
      <c r="S4" s="24" t="inlineStr"/>
    </row>
    <row r="5">
      <c r="A5" t="inlineStr">
        <is>
          <t>Male</t>
        </is>
      </c>
      <c r="B5" s="5" t="n">
        <v>1</v>
      </c>
      <c r="C5" s="5" t="inlineStr"/>
      <c r="D5" s="15" t="n">
        <v>0.49</v>
      </c>
      <c r="E5" s="16">
        <f>IF($D5*E$2=0,"",$D5*E$2)</f>
        <v/>
      </c>
      <c r="F5" s="5">
        <f>COUNTIFS(data!$B:$B,1,data!$C:$C,$B5)</f>
        <v/>
      </c>
      <c r="G5" s="15">
        <f>F5/E$2</f>
        <v/>
      </c>
      <c r="H5" s="15">
        <f>G5-D5</f>
        <v/>
      </c>
      <c r="I5" s="16">
        <f>D5*I$2</f>
        <v/>
      </c>
      <c r="J5" s="16">
        <f>I5-F5</f>
        <v/>
      </c>
      <c r="K5" s="5" t="inlineStr"/>
      <c r="L5" s="15" t="n">
        <v>0.49</v>
      </c>
      <c r="M5" s="16">
        <f>IF($L5*M$2=0,"",$L5*M$2)</f>
        <v/>
      </c>
      <c r="N5" s="5">
        <f>COUNTIFS(data!$B:$B,2,data!$C:$C,$B5)</f>
        <v/>
      </c>
      <c r="O5" s="15">
        <f>N5/M$2</f>
        <v/>
      </c>
      <c r="P5" s="15">
        <f>O5-L5</f>
        <v/>
      </c>
      <c r="Q5" s="16">
        <f>L5*Q$2</f>
        <v/>
      </c>
      <c r="R5" s="16">
        <f>Q5-N5</f>
        <v/>
      </c>
      <c r="S5" s="5" t="inlineStr"/>
    </row>
    <row r="6">
      <c r="A6" t="inlineStr">
        <is>
          <t>Female</t>
        </is>
      </c>
      <c r="B6" s="5" t="n">
        <v>2</v>
      </c>
      <c r="C6" s="5" t="inlineStr"/>
      <c r="D6" s="15" t="n">
        <v>0.51</v>
      </c>
      <c r="E6" s="16">
        <f>IF($D6*E$2=0,"",$D6*E$2)</f>
        <v/>
      </c>
      <c r="F6" s="5">
        <f>COUNTIFS(data!$B:$B,1,data!$C:$C,$B6)</f>
        <v/>
      </c>
      <c r="G6" s="15">
        <f>F6/E$2</f>
        <v/>
      </c>
      <c r="H6" s="15">
        <f>G6-D6</f>
        <v/>
      </c>
      <c r="I6" s="16">
        <f>D6*I$2</f>
        <v/>
      </c>
      <c r="J6" s="16">
        <f>I6-F6</f>
        <v/>
      </c>
      <c r="K6" s="5" t="inlineStr"/>
      <c r="L6" s="15" t="n">
        <v>0.51</v>
      </c>
      <c r="M6" s="16">
        <f>IF($L6*M$2=0,"",$L6*M$2)</f>
        <v/>
      </c>
      <c r="N6" s="5">
        <f>COUNTIFS(data!$B:$B,2,data!$C:$C,$B6)</f>
        <v/>
      </c>
      <c r="O6" s="15">
        <f>N6/M$2</f>
        <v/>
      </c>
      <c r="P6" s="15">
        <f>O6-L6</f>
        <v/>
      </c>
      <c r="Q6" s="16">
        <f>L6*Q$2</f>
        <v/>
      </c>
      <c r="R6" s="16">
        <f>Q6-N6</f>
        <v/>
      </c>
      <c r="S6" s="5" t="inlineStr"/>
    </row>
    <row r="7">
      <c r="A7" s="23" t="inlineStr"/>
      <c r="B7" s="24" t="inlineStr"/>
      <c r="C7" s="24" t="inlineStr"/>
      <c r="D7" s="25" t="inlineStr"/>
      <c r="E7" s="26" t="inlineStr"/>
      <c r="F7" s="24">
        <f>SUM(F5:F6)</f>
        <v/>
      </c>
      <c r="G7" s="25" t="inlineStr"/>
      <c r="H7" s="25" t="inlineStr"/>
      <c r="I7" s="26" t="inlineStr"/>
      <c r="J7" s="26" t="inlineStr"/>
      <c r="K7" s="24" t="inlineStr"/>
      <c r="L7" s="25" t="inlineStr"/>
      <c r="M7" s="26" t="inlineStr"/>
      <c r="N7" s="24">
        <f>SUM(N5:N6)</f>
        <v/>
      </c>
      <c r="O7" s="25" t="inlineStr"/>
      <c r="P7" s="25" t="inlineStr"/>
      <c r="Q7" s="26" t="inlineStr"/>
      <c r="R7" s="26" t="inlineStr"/>
      <c r="S7" s="24" t="inlineStr"/>
    </row>
    <row r="8">
      <c r="A8" s="23" t="inlineStr">
        <is>
          <t>Age</t>
        </is>
      </c>
      <c r="B8" s="24" t="inlineStr">
        <is>
          <t>age</t>
        </is>
      </c>
      <c r="C8" s="24" t="inlineStr"/>
      <c r="D8" s="25" t="inlineStr"/>
      <c r="E8" s="26" t="inlineStr"/>
      <c r="F8" s="24" t="inlineStr"/>
      <c r="G8" s="25" t="inlineStr"/>
      <c r="H8" s="25" t="inlineStr"/>
      <c r="I8" s="26" t="inlineStr"/>
      <c r="J8" s="26" t="inlineStr"/>
      <c r="K8" s="24" t="inlineStr"/>
      <c r="L8" s="25" t="inlineStr"/>
      <c r="M8" s="26" t="inlineStr"/>
      <c r="N8" s="24" t="inlineStr"/>
      <c r="O8" s="25" t="inlineStr"/>
      <c r="P8" s="25" t="inlineStr"/>
      <c r="Q8" s="26" t="inlineStr"/>
      <c r="R8" s="26" t="inlineStr"/>
      <c r="S8" s="24" t="inlineStr"/>
    </row>
    <row r="9">
      <c r="A9" t="inlineStr">
        <is>
          <t>18-29</t>
        </is>
      </c>
      <c r="B9" s="5" t="n">
        <v>1</v>
      </c>
      <c r="C9" s="5" t="inlineStr"/>
      <c r="D9" s="15" t="n">
        <v>0.2</v>
      </c>
      <c r="E9" s="16">
        <f>IF($D9*E$2=0,"",$D9*E$2)</f>
        <v/>
      </c>
      <c r="F9" s="5">
        <f>COUNTIFS(data!$B:$B,1,data!$E:$E,$B9)</f>
        <v/>
      </c>
      <c r="G9" s="15">
        <f>F9/E$2</f>
        <v/>
      </c>
      <c r="H9" s="15">
        <f>G9-D9</f>
        <v/>
      </c>
      <c r="I9" s="16">
        <f>D9*I$2</f>
        <v/>
      </c>
      <c r="J9" s="16">
        <f>I9-F9</f>
        <v/>
      </c>
      <c r="K9" s="5" t="inlineStr"/>
      <c r="L9" s="15" t="n">
        <v>0.2</v>
      </c>
      <c r="M9" s="16">
        <f>IF($L9*M$2=0,"",$L9*M$2)</f>
        <v/>
      </c>
      <c r="N9" s="5">
        <f>COUNTIFS(data!$B:$B,2,data!$E:$E,$B9)</f>
        <v/>
      </c>
      <c r="O9" s="15">
        <f>N9/M$2</f>
        <v/>
      </c>
      <c r="P9" s="15">
        <f>O9-L9</f>
        <v/>
      </c>
      <c r="Q9" s="16">
        <f>L9*Q$2</f>
        <v/>
      </c>
      <c r="R9" s="16">
        <f>Q9-N9</f>
        <v/>
      </c>
      <c r="S9" s="5" t="inlineStr"/>
    </row>
    <row r="10">
      <c r="A10" t="inlineStr">
        <is>
          <t>30-39</t>
        </is>
      </c>
      <c r="B10" s="5" t="n">
        <v>2</v>
      </c>
      <c r="C10" s="5" t="inlineStr"/>
      <c r="D10" s="15" t="n">
        <v>0.2</v>
      </c>
      <c r="E10" s="16">
        <f>IF($D10*E$2=0,"",$D10*E$2)</f>
        <v/>
      </c>
      <c r="F10" s="5">
        <f>COUNTIFS(data!$B:$B,1,data!$E:$E,$B10)</f>
        <v/>
      </c>
      <c r="G10" s="15">
        <f>F10/E$2</f>
        <v/>
      </c>
      <c r="H10" s="15">
        <f>G10-D10</f>
        <v/>
      </c>
      <c r="I10" s="16">
        <f>D10*I$2</f>
        <v/>
      </c>
      <c r="J10" s="16">
        <f>I10-F10</f>
        <v/>
      </c>
      <c r="K10" s="5" t="inlineStr"/>
      <c r="L10" s="15" t="n">
        <v>0.2</v>
      </c>
      <c r="M10" s="16">
        <f>IF($L10*M$2=0,"",$L10*M$2)</f>
        <v/>
      </c>
      <c r="N10" s="5">
        <f>COUNTIFS(data!$B:$B,2,data!$E:$E,$B10)</f>
        <v/>
      </c>
      <c r="O10" s="15">
        <f>N10/M$2</f>
        <v/>
      </c>
      <c r="P10" s="15">
        <f>O10-L10</f>
        <v/>
      </c>
      <c r="Q10" s="16">
        <f>L10*Q$2</f>
        <v/>
      </c>
      <c r="R10" s="16">
        <f>Q10-N10</f>
        <v/>
      </c>
      <c r="S10" s="5" t="inlineStr"/>
    </row>
    <row r="11">
      <c r="A11" t="inlineStr">
        <is>
          <t>40-49</t>
        </is>
      </c>
      <c r="B11" s="5" t="n">
        <v>3</v>
      </c>
      <c r="C11" s="5" t="inlineStr"/>
      <c r="D11" s="15" t="n">
        <v>0.2</v>
      </c>
      <c r="E11" s="16">
        <f>IF($D11*E$2=0,"",$D11*E$2)</f>
        <v/>
      </c>
      <c r="F11" s="5">
        <f>COUNTIFS(data!$B:$B,1,data!$E:$E,$B11)</f>
        <v/>
      </c>
      <c r="G11" s="15">
        <f>F11/E$2</f>
        <v/>
      </c>
      <c r="H11" s="15">
        <f>G11-D11</f>
        <v/>
      </c>
      <c r="I11" s="16">
        <f>D11*I$2</f>
        <v/>
      </c>
      <c r="J11" s="16">
        <f>I11-F11</f>
        <v/>
      </c>
      <c r="K11" s="5" t="inlineStr"/>
      <c r="L11" s="15" t="n">
        <v>0.2</v>
      </c>
      <c r="M11" s="16">
        <f>IF($L11*M$2=0,"",$L11*M$2)</f>
        <v/>
      </c>
      <c r="N11" s="5">
        <f>COUNTIFS(data!$B:$B,2,data!$E:$E,$B11)</f>
        <v/>
      </c>
      <c r="O11" s="15">
        <f>N11/M$2</f>
        <v/>
      </c>
      <c r="P11" s="15">
        <f>O11-L11</f>
        <v/>
      </c>
      <c r="Q11" s="16">
        <f>L11*Q$2</f>
        <v/>
      </c>
      <c r="R11" s="16">
        <f>Q11-N11</f>
        <v/>
      </c>
      <c r="S11" s="5" t="inlineStr"/>
    </row>
    <row r="12">
      <c r="A12" t="inlineStr">
        <is>
          <t>50-59</t>
        </is>
      </c>
      <c r="B12" s="5" t="n">
        <v>4</v>
      </c>
      <c r="C12" s="5" t="inlineStr"/>
      <c r="D12" s="15" t="n">
        <v>0.2</v>
      </c>
      <c r="E12" s="16">
        <f>IF($D12*E$2=0,"",$D12*E$2)</f>
        <v/>
      </c>
      <c r="F12" s="5">
        <f>COUNTIFS(data!$B:$B,1,data!$E:$E,$B12)</f>
        <v/>
      </c>
      <c r="G12" s="15">
        <f>F12/E$2</f>
        <v/>
      </c>
      <c r="H12" s="15">
        <f>G12-D12</f>
        <v/>
      </c>
      <c r="I12" s="16">
        <f>D12*I$2</f>
        <v/>
      </c>
      <c r="J12" s="16">
        <f>I12-F12</f>
        <v/>
      </c>
      <c r="K12" s="5" t="inlineStr"/>
      <c r="L12" s="15" t="n">
        <v>0.2</v>
      </c>
      <c r="M12" s="16">
        <f>IF($L12*M$2=0,"",$L12*M$2)</f>
        <v/>
      </c>
      <c r="N12" s="5">
        <f>COUNTIFS(data!$B:$B,2,data!$E:$E,$B12)</f>
        <v/>
      </c>
      <c r="O12" s="15">
        <f>N12/M$2</f>
        <v/>
      </c>
      <c r="P12" s="15">
        <f>O12-L12</f>
        <v/>
      </c>
      <c r="Q12" s="16">
        <f>L12*Q$2</f>
        <v/>
      </c>
      <c r="R12" s="16">
        <f>Q12-N12</f>
        <v/>
      </c>
      <c r="S12" s="5" t="inlineStr"/>
    </row>
    <row r="13">
      <c r="A13" t="inlineStr">
        <is>
          <t>60+</t>
        </is>
      </c>
      <c r="B13" s="5" t="n">
        <v>5</v>
      </c>
      <c r="C13" s="5" t="inlineStr"/>
      <c r="D13" s="15" t="n">
        <v>0.2</v>
      </c>
      <c r="E13" s="16">
        <f>IF($D13*E$2=0,"",$D13*E$2)</f>
        <v/>
      </c>
      <c r="F13" s="5">
        <f>COUNTIFS(data!$B:$B,1,data!$E:$E,$B13)</f>
        <v/>
      </c>
      <c r="G13" s="15">
        <f>F13/E$2</f>
        <v/>
      </c>
      <c r="H13" s="15">
        <f>G13-D13</f>
        <v/>
      </c>
      <c r="I13" s="16">
        <f>D13*I$2</f>
        <v/>
      </c>
      <c r="J13" s="16">
        <f>I13-F13</f>
        <v/>
      </c>
      <c r="K13" s="5" t="inlineStr"/>
      <c r="L13" s="15" t="n">
        <v>0.2</v>
      </c>
      <c r="M13" s="16">
        <f>IF($L13*M$2=0,"",$L13*M$2)</f>
        <v/>
      </c>
      <c r="N13" s="5">
        <f>COUNTIFS(data!$B:$B,2,data!$E:$E,$B13)</f>
        <v/>
      </c>
      <c r="O13" s="15">
        <f>N13/M$2</f>
        <v/>
      </c>
      <c r="P13" s="15">
        <f>O13-L13</f>
        <v/>
      </c>
      <c r="Q13" s="16">
        <f>L13*Q$2</f>
        <v/>
      </c>
      <c r="R13" s="16">
        <f>Q13-N13</f>
        <v/>
      </c>
      <c r="S13" s="5" t="inlineStr"/>
    </row>
    <row r="14">
      <c r="A14" s="23" t="inlineStr"/>
      <c r="B14" s="24" t="inlineStr"/>
      <c r="C14" s="24" t="inlineStr"/>
      <c r="D14" s="25" t="inlineStr"/>
      <c r="E14" s="26" t="inlineStr"/>
      <c r="F14" s="24">
        <f>SUM(F9:F13)</f>
        <v/>
      </c>
      <c r="G14" s="25" t="inlineStr"/>
      <c r="H14" s="25" t="inlineStr"/>
      <c r="I14" s="26" t="inlineStr"/>
      <c r="J14" s="26" t="inlineStr"/>
      <c r="K14" s="24" t="inlineStr"/>
      <c r="L14" s="25" t="inlineStr"/>
      <c r="M14" s="26" t="inlineStr"/>
      <c r="N14" s="24">
        <f>SUM(N9:N13)</f>
        <v/>
      </c>
      <c r="O14" s="25" t="inlineStr"/>
      <c r="P14" s="25" t="inlineStr"/>
      <c r="Q14" s="26" t="inlineStr"/>
      <c r="R14" s="26" t="inlineStr"/>
      <c r="S14" s="24" t="inlineStr"/>
    </row>
    <row r="15">
      <c r="A15" s="23" t="inlineStr">
        <is>
          <t>Ethnicity</t>
        </is>
      </c>
      <c r="B15" s="24" t="inlineStr">
        <is>
          <t>ethnicity</t>
        </is>
      </c>
      <c r="C15" s="24" t="inlineStr"/>
      <c r="D15" s="25" t="inlineStr"/>
      <c r="E15" s="26" t="inlineStr"/>
      <c r="F15" s="24" t="inlineStr"/>
      <c r="G15" s="25" t="inlineStr"/>
      <c r="H15" s="25" t="inlineStr"/>
      <c r="I15" s="26" t="inlineStr"/>
      <c r="J15" s="26" t="inlineStr"/>
      <c r="K15" s="24" t="inlineStr"/>
      <c r="L15" s="25" t="inlineStr"/>
      <c r="M15" s="26" t="inlineStr"/>
      <c r="N15" s="24" t="inlineStr"/>
      <c r="O15" s="25" t="inlineStr"/>
      <c r="P15" s="25" t="inlineStr"/>
      <c r="Q15" s="26" t="inlineStr"/>
      <c r="R15" s="26" t="inlineStr"/>
      <c r="S15" s="24" t="inlineStr"/>
    </row>
    <row r="16">
      <c r="A16" t="inlineStr">
        <is>
          <t>White</t>
        </is>
      </c>
      <c r="B16" s="5" t="n">
        <v>1</v>
      </c>
      <c r="C16" s="5" t="inlineStr"/>
      <c r="D16" s="15" t="n">
        <v>0.4</v>
      </c>
      <c r="E16" s="16">
        <f>IF($D16*E$2=0,"",$D16*E$2)</f>
        <v/>
      </c>
      <c r="F16" s="5">
        <f>COUNTIFS(data!$B:$B,1,data!$D:$D,$B16)</f>
        <v/>
      </c>
      <c r="G16" s="15">
        <f>F16/E$2</f>
        <v/>
      </c>
      <c r="H16" s="15">
        <f>G16-D16</f>
        <v/>
      </c>
      <c r="I16" s="16">
        <f>D16*I$2</f>
        <v/>
      </c>
      <c r="J16" s="16">
        <f>I16-F16</f>
        <v/>
      </c>
      <c r="K16" s="5" t="inlineStr"/>
      <c r="L16" s="15" t="n">
        <v>0.4</v>
      </c>
      <c r="M16" s="16">
        <f>IF($L16*M$2=0,"",$L16*M$2)</f>
        <v/>
      </c>
      <c r="N16" s="5">
        <f>COUNTIFS(data!$B:$B,2,data!$D:$D,$B16)</f>
        <v/>
      </c>
      <c r="O16" s="15">
        <f>N16/M$2</f>
        <v/>
      </c>
      <c r="P16" s="15">
        <f>O16-L16</f>
        <v/>
      </c>
      <c r="Q16" s="16">
        <f>L16*Q$2</f>
        <v/>
      </c>
      <c r="R16" s="16">
        <f>Q16-N16</f>
        <v/>
      </c>
      <c r="S16" s="5" t="inlineStr"/>
    </row>
    <row r="17">
      <c r="A17" t="inlineStr">
        <is>
          <t>Black</t>
        </is>
      </c>
      <c r="B17" s="5" t="n">
        <v>2</v>
      </c>
      <c r="C17" s="5" t="inlineStr"/>
      <c r="D17" s="15" t="n">
        <v>0.2</v>
      </c>
      <c r="E17" s="16">
        <f>IF($D17*E$2=0,"",$D17*E$2)</f>
        <v/>
      </c>
      <c r="F17" s="5">
        <f>COUNTIFS(data!$B:$B,1,data!$D:$D,$B17)</f>
        <v/>
      </c>
      <c r="G17" s="15">
        <f>F17/E$2</f>
        <v/>
      </c>
      <c r="H17" s="15">
        <f>G17-D17</f>
        <v/>
      </c>
      <c r="I17" s="16">
        <f>D17*I$2</f>
        <v/>
      </c>
      <c r="J17" s="16">
        <f>I17-F17</f>
        <v/>
      </c>
      <c r="K17" s="5" t="inlineStr"/>
      <c r="L17" s="15" t="n">
        <v>0.2</v>
      </c>
      <c r="M17" s="16">
        <f>IF($L17*M$2=0,"",$L17*M$2)</f>
        <v/>
      </c>
      <c r="N17" s="5">
        <f>COUNTIFS(data!$B:$B,2,data!$D:$D,$B17)</f>
        <v/>
      </c>
      <c r="O17" s="15">
        <f>N17/M$2</f>
        <v/>
      </c>
      <c r="P17" s="15">
        <f>O17-L17</f>
        <v/>
      </c>
      <c r="Q17" s="16">
        <f>L17*Q$2</f>
        <v/>
      </c>
      <c r="R17" s="16">
        <f>Q17-N17</f>
        <v/>
      </c>
      <c r="S17" s="5" t="inlineStr"/>
    </row>
    <row r="18">
      <c r="A18" t="inlineStr">
        <is>
          <t>Hispanic</t>
        </is>
      </c>
      <c r="B18" s="5" t="n">
        <v>3</v>
      </c>
      <c r="C18" s="5" t="inlineStr"/>
      <c r="D18" s="15" t="n">
        <v>0.3</v>
      </c>
      <c r="E18" s="16">
        <f>IF($D18*E$2=0,"",$D18*E$2)</f>
        <v/>
      </c>
      <c r="F18" s="5">
        <f>COUNTIFS(data!$B:$B,1,data!$D:$D,$B18)</f>
        <v/>
      </c>
      <c r="G18" s="15">
        <f>F18/E$2</f>
        <v/>
      </c>
      <c r="H18" s="15">
        <f>G18-D18</f>
        <v/>
      </c>
      <c r="I18" s="16">
        <f>D18*I$2</f>
        <v/>
      </c>
      <c r="J18" s="16">
        <f>I18-F18</f>
        <v/>
      </c>
      <c r="K18" s="5" t="inlineStr"/>
      <c r="L18" s="15" t="n">
        <v>0.3</v>
      </c>
      <c r="M18" s="16">
        <f>IF($L18*M$2=0,"",$L18*M$2)</f>
        <v/>
      </c>
      <c r="N18" s="5">
        <f>COUNTIFS(data!$B:$B,2,data!$D:$D,$B18)</f>
        <v/>
      </c>
      <c r="O18" s="15">
        <f>N18/M$2</f>
        <v/>
      </c>
      <c r="P18" s="15">
        <f>O18-L18</f>
        <v/>
      </c>
      <c r="Q18" s="16">
        <f>L18*Q$2</f>
        <v/>
      </c>
      <c r="R18" s="16">
        <f>Q18-N18</f>
        <v/>
      </c>
      <c r="S18" s="5" t="inlineStr"/>
    </row>
    <row r="19">
      <c r="A19" t="inlineStr">
        <is>
          <t>Asian</t>
        </is>
      </c>
      <c r="B19" s="5" t="n">
        <v>4</v>
      </c>
      <c r="C19" s="5" t="inlineStr"/>
      <c r="D19" s="15" t="n">
        <v>0.1</v>
      </c>
      <c r="E19" s="16">
        <f>IF($D19*E$2=0,"",$D19*E$2)</f>
        <v/>
      </c>
      <c r="F19" s="5">
        <f>COUNTIFS(data!$B:$B,1,data!$D:$D,$B19)</f>
        <v/>
      </c>
      <c r="G19" s="15">
        <f>F19/E$2</f>
        <v/>
      </c>
      <c r="H19" s="15">
        <f>G19-D19</f>
        <v/>
      </c>
      <c r="I19" s="16">
        <f>D19*I$2</f>
        <v/>
      </c>
      <c r="J19" s="16">
        <f>I19-F19</f>
        <v/>
      </c>
      <c r="K19" s="5" t="inlineStr"/>
      <c r="L19" s="15" t="n">
        <v>0.1</v>
      </c>
      <c r="M19" s="16">
        <f>IF($L19*M$2=0,"",$L19*M$2)</f>
        <v/>
      </c>
      <c r="N19" s="5">
        <f>COUNTIFS(data!$B:$B,2,data!$D:$D,$B19)</f>
        <v/>
      </c>
      <c r="O19" s="15">
        <f>N19/M$2</f>
        <v/>
      </c>
      <c r="P19" s="15">
        <f>O19-L19</f>
        <v/>
      </c>
      <c r="Q19" s="16">
        <f>L19*Q$2</f>
        <v/>
      </c>
      <c r="R19" s="16">
        <f>Q19-N19</f>
        <v/>
      </c>
      <c r="S19" s="5" t="inlineStr"/>
    </row>
    <row r="20">
      <c r="A20" s="23" t="inlineStr"/>
      <c r="B20" s="24" t="inlineStr"/>
      <c r="C20" s="24" t="inlineStr"/>
      <c r="D20" s="25" t="inlineStr"/>
      <c r="E20" s="26" t="inlineStr"/>
      <c r="F20" s="24">
        <f>SUM(F16:F19)</f>
        <v/>
      </c>
      <c r="G20" s="25" t="inlineStr"/>
      <c r="H20" s="25" t="inlineStr"/>
      <c r="I20" s="26" t="inlineStr"/>
      <c r="J20" s="26" t="inlineStr"/>
      <c r="K20" s="24" t="inlineStr"/>
      <c r="L20" s="25" t="inlineStr"/>
      <c r="M20" s="26" t="inlineStr"/>
      <c r="N20" s="24">
        <f>SUM(N16:N19)</f>
        <v/>
      </c>
      <c r="O20" s="25" t="inlineStr"/>
      <c r="P20" s="25" t="inlineStr"/>
      <c r="Q20" s="26" t="inlineStr"/>
      <c r="R20" s="26" t="inlineStr"/>
      <c r="S20" s="24" t="inlineStr"/>
    </row>
    <row r="21">
      <c r="A21" s="23" t="inlineStr">
        <is>
          <t>Party</t>
        </is>
      </c>
      <c r="B21" s="24" t="inlineStr">
        <is>
          <t>party</t>
        </is>
      </c>
      <c r="C21" s="24" t="inlineStr"/>
      <c r="D21" s="25" t="inlineStr"/>
      <c r="E21" s="26" t="inlineStr"/>
      <c r="F21" s="24" t="inlineStr"/>
      <c r="G21" s="25" t="inlineStr"/>
      <c r="H21" s="25" t="inlineStr"/>
      <c r="I21" s="26" t="inlineStr"/>
      <c r="J21" s="26" t="inlineStr"/>
      <c r="K21" s="24" t="inlineStr"/>
      <c r="L21" s="25" t="inlineStr"/>
      <c r="M21" s="26" t="inlineStr"/>
      <c r="N21" s="24" t="inlineStr"/>
      <c r="O21" s="25" t="inlineStr"/>
      <c r="P21" s="25" t="inlineStr"/>
      <c r="Q21" s="26" t="inlineStr"/>
      <c r="R21" s="26" t="inlineStr"/>
      <c r="S21" s="24" t="inlineStr"/>
    </row>
    <row r="22">
      <c r="A22" t="inlineStr">
        <is>
          <t>Democrat</t>
        </is>
      </c>
      <c r="B22" s="5" t="n">
        <v>1</v>
      </c>
      <c r="C22" s="5" t="inlineStr"/>
      <c r="D22" s="15" t="n">
        <v>0.4</v>
      </c>
      <c r="E22" s="16">
        <f>IF($D22*E$2=0,"",$D22*E$2)</f>
        <v/>
      </c>
      <c r="F22" s="5">
        <f>COUNTIFS(data!$B:$B,1,data!$G:$G,$B22)</f>
        <v/>
      </c>
      <c r="G22" s="15">
        <f>F22/E$2</f>
        <v/>
      </c>
      <c r="H22" s="15">
        <f>G22-D22</f>
        <v/>
      </c>
      <c r="I22" s="16">
        <f>D22*I$2</f>
        <v/>
      </c>
      <c r="J22" s="16">
        <f>I22-F22</f>
        <v/>
      </c>
      <c r="K22" s="5" t="inlineStr"/>
      <c r="L22" s="15" t="n">
        <v>0.4</v>
      </c>
      <c r="M22" s="16">
        <f>IF($L22*M$2=0,"",$L22*M$2)</f>
        <v/>
      </c>
      <c r="N22" s="5">
        <f>COUNTIFS(data!$B:$B,2,data!$G:$G,$B22)</f>
        <v/>
      </c>
      <c r="O22" s="15">
        <f>N22/M$2</f>
        <v/>
      </c>
      <c r="P22" s="15">
        <f>O22-L22</f>
        <v/>
      </c>
      <c r="Q22" s="16">
        <f>L22*Q$2</f>
        <v/>
      </c>
      <c r="R22" s="16">
        <f>Q22-N22</f>
        <v/>
      </c>
      <c r="S22" s="5" t="inlineStr"/>
    </row>
    <row r="23">
      <c r="A23" t="inlineStr">
        <is>
          <t>Republican</t>
        </is>
      </c>
      <c r="B23" s="5" t="n">
        <v>2</v>
      </c>
      <c r="C23" s="5" t="inlineStr"/>
      <c r="D23" s="15" t="n">
        <v>0.4</v>
      </c>
      <c r="E23" s="16">
        <f>IF($D23*E$2=0,"",$D23*E$2)</f>
        <v/>
      </c>
      <c r="F23" s="5">
        <f>COUNTIFS(data!$B:$B,1,data!$G:$G,$B23)</f>
        <v/>
      </c>
      <c r="G23" s="15">
        <f>F23/E$2</f>
        <v/>
      </c>
      <c r="H23" s="15">
        <f>G23-D23</f>
        <v/>
      </c>
      <c r="I23" s="16">
        <f>D23*I$2</f>
        <v/>
      </c>
      <c r="J23" s="16">
        <f>I23-F23</f>
        <v/>
      </c>
      <c r="K23" s="5" t="inlineStr"/>
      <c r="L23" s="15" t="n">
        <v>0.4</v>
      </c>
      <c r="M23" s="16">
        <f>IF($L23*M$2=0,"",$L23*M$2)</f>
        <v/>
      </c>
      <c r="N23" s="5">
        <f>COUNTIFS(data!$B:$B,2,data!$G:$G,$B23)</f>
        <v/>
      </c>
      <c r="O23" s="15">
        <f>N23/M$2</f>
        <v/>
      </c>
      <c r="P23" s="15">
        <f>O23-L23</f>
        <v/>
      </c>
      <c r="Q23" s="16">
        <f>L23*Q$2</f>
        <v/>
      </c>
      <c r="R23" s="16">
        <f>Q23-N23</f>
        <v/>
      </c>
      <c r="S23" s="5" t="inlineStr"/>
    </row>
    <row r="24">
      <c r="A24" t="inlineStr">
        <is>
          <t>Independence</t>
        </is>
      </c>
      <c r="B24" s="5" t="n">
        <v>3</v>
      </c>
      <c r="C24" s="5" t="inlineStr"/>
      <c r="D24" s="15" t="n">
        <v>0.1</v>
      </c>
      <c r="E24" s="16">
        <f>IF($D24*E$2=0,"",$D24*E$2)</f>
        <v/>
      </c>
      <c r="F24" s="5">
        <f>COUNTIFS(data!$B:$B,1,data!$G:$G,$B24)</f>
        <v/>
      </c>
      <c r="G24" s="15">
        <f>F24/E$2</f>
        <v/>
      </c>
      <c r="H24" s="15">
        <f>G24-D24</f>
        <v/>
      </c>
      <c r="I24" s="16">
        <f>D24*I$2</f>
        <v/>
      </c>
      <c r="J24" s="16">
        <f>I24-F24</f>
        <v/>
      </c>
      <c r="K24" s="5" t="inlineStr"/>
      <c r="L24" s="15" t="n">
        <v>0.1</v>
      </c>
      <c r="M24" s="16">
        <f>IF($L24*M$2=0,"",$L24*M$2)</f>
        <v/>
      </c>
      <c r="N24" s="5">
        <f>COUNTIFS(data!$B:$B,2,data!$G:$G,$B24)</f>
        <v/>
      </c>
      <c r="O24" s="15">
        <f>N24/M$2</f>
        <v/>
      </c>
      <c r="P24" s="15">
        <f>O24-L24</f>
        <v/>
      </c>
      <c r="Q24" s="16">
        <f>L24*Q$2</f>
        <v/>
      </c>
      <c r="R24" s="16">
        <f>Q24-N24</f>
        <v/>
      </c>
      <c r="S24" s="5" t="inlineStr"/>
    </row>
    <row r="25">
      <c r="A25" s="23" t="inlineStr"/>
      <c r="B25" s="24" t="inlineStr"/>
      <c r="C25" s="24" t="inlineStr"/>
      <c r="D25" s="25" t="inlineStr"/>
      <c r="E25" s="26" t="inlineStr"/>
      <c r="F25" s="24">
        <f>SUM(F22:F24)</f>
        <v/>
      </c>
      <c r="G25" s="25" t="inlineStr"/>
      <c r="H25" s="25" t="inlineStr"/>
      <c r="I25" s="26" t="inlineStr"/>
      <c r="J25" s="26" t="inlineStr"/>
      <c r="K25" s="24" t="inlineStr"/>
      <c r="L25" s="25" t="inlineStr"/>
      <c r="M25" s="26" t="inlineStr"/>
      <c r="N25" s="24">
        <f>SUM(N22:N24)</f>
        <v/>
      </c>
      <c r="O25" s="25" t="inlineStr"/>
      <c r="P25" s="25" t="inlineStr"/>
      <c r="Q25" s="26" t="inlineStr"/>
      <c r="R25" s="26" t="inlineStr"/>
      <c r="S25" s="24" t="inlineStr"/>
    </row>
    <row r="26">
      <c r="A26" s="23" t="inlineStr">
        <is>
          <t>State</t>
        </is>
      </c>
      <c r="B26" s="24" t="inlineStr">
        <is>
          <t>state</t>
        </is>
      </c>
      <c r="C26" s="24" t="inlineStr"/>
      <c r="D26" s="25" t="inlineStr"/>
      <c r="E26" s="26" t="inlineStr"/>
      <c r="F26" s="24" t="inlineStr"/>
      <c r="G26" s="25" t="inlineStr"/>
      <c r="H26" s="25" t="inlineStr"/>
      <c r="I26" s="26" t="inlineStr"/>
      <c r="J26" s="26" t="inlineStr"/>
      <c r="K26" s="24" t="inlineStr"/>
      <c r="L26" s="25" t="inlineStr"/>
      <c r="M26" s="26" t="inlineStr"/>
      <c r="N26" s="24" t="inlineStr"/>
      <c r="O26" s="25" t="inlineStr"/>
      <c r="P26" s="25" t="inlineStr"/>
      <c r="Q26" s="26" t="inlineStr"/>
      <c r="R26" s="26" t="inlineStr"/>
      <c r="S26" s="24" t="inlineStr"/>
    </row>
    <row r="27">
      <c r="A27" t="inlineStr">
        <is>
          <t>AZ</t>
        </is>
      </c>
      <c r="B27" s="5" t="n">
        <v>1</v>
      </c>
      <c r="C27" s="5" t="inlineStr"/>
      <c r="D27" s="15" t="n">
        <v>0.1</v>
      </c>
      <c r="E27" s="16">
        <f>IF($D27*E$2=0,"",$D27*E$2)</f>
        <v/>
      </c>
      <c r="F27" s="5">
        <f>COUNTIFS(data!$B:$B,1,data!$H:$H,$B27)</f>
        <v/>
      </c>
      <c r="G27" s="15">
        <f>F27/E$2</f>
        <v/>
      </c>
      <c r="H27" s="15">
        <f>G27-D27</f>
        <v/>
      </c>
      <c r="I27" s="16">
        <f>D27*I$2</f>
        <v/>
      </c>
      <c r="J27" s="16">
        <f>I27-F27</f>
        <v/>
      </c>
      <c r="K27" s="5" t="inlineStr"/>
      <c r="L27" s="15" t="n">
        <v>0.1</v>
      </c>
      <c r="M27" s="16">
        <f>IF($L27*M$2=0,"",$L27*M$2)</f>
        <v/>
      </c>
      <c r="N27" s="5">
        <f>COUNTIFS(data!$B:$B,2,data!$H:$H,$B27)</f>
        <v/>
      </c>
      <c r="O27" s="15">
        <f>N27/M$2</f>
        <v/>
      </c>
      <c r="P27" s="15">
        <f>O27-L27</f>
        <v/>
      </c>
      <c r="Q27" s="16">
        <f>L27*Q$2</f>
        <v/>
      </c>
      <c r="R27" s="16">
        <f>Q27-N27</f>
        <v/>
      </c>
      <c r="S27" s="5" t="inlineStr"/>
    </row>
    <row r="28">
      <c r="A28" t="inlineStr">
        <is>
          <t>CA</t>
        </is>
      </c>
      <c r="B28" s="5" t="inlineStr">
        <is>
          <t>2:4</t>
        </is>
      </c>
      <c r="C28" s="5" t="inlineStr"/>
      <c r="D28" s="15" t="n">
        <v>0.1</v>
      </c>
      <c r="E28" s="16">
        <f>IF($D28*E$2=0,"",$D28*E$2)</f>
        <v/>
      </c>
      <c r="F28" s="5">
        <f>COUNTIFS(data!$B:$B,1,data!$H:$H,2)+COUNTIFS(data!$B:$B,1,data!$H:$H,3)+COUNTIFS(data!$B:$B,1,data!$H:$H,4)</f>
        <v/>
      </c>
      <c r="G28" s="15">
        <f>F28/E$2</f>
        <v/>
      </c>
      <c r="H28" s="15">
        <f>G28-D28</f>
        <v/>
      </c>
      <c r="I28" s="16">
        <f>D28*I$2</f>
        <v/>
      </c>
      <c r="J28" s="16">
        <f>I28-F28</f>
        <v/>
      </c>
      <c r="K28" s="5" t="inlineStr"/>
      <c r="L28" s="15" t="n">
        <v>0.1</v>
      </c>
      <c r="M28" s="16">
        <f>IF($L28*M$2=0,"",$L28*M$2)</f>
        <v/>
      </c>
      <c r="N28" s="5">
        <f>COUNTIFS(data!$B:$B,2,data!$H:$H,2)+COUNTIFS(data!$B:$B,2,data!$H:$H,3)+COUNTIFS(data!$B:$B,2,data!$H:$H,4)</f>
        <v/>
      </c>
      <c r="O28" s="15">
        <f>N28/M$2</f>
        <v/>
      </c>
      <c r="P28" s="15">
        <f>O28-L28</f>
        <v/>
      </c>
      <c r="Q28" s="16">
        <f>L28*Q$2</f>
        <v/>
      </c>
      <c r="R28" s="16">
        <f>Q28-N28</f>
        <v/>
      </c>
      <c r="S28" s="5" t="inlineStr"/>
    </row>
    <row r="29">
      <c r="A29" t="inlineStr">
        <is>
          <t>TX</t>
        </is>
      </c>
      <c r="B29" s="5" t="inlineStr">
        <is>
          <t>5,6</t>
        </is>
      </c>
      <c r="C29" s="5" t="inlineStr"/>
      <c r="D29" s="15" t="n">
        <v>0.1</v>
      </c>
      <c r="E29" s="16">
        <f>IF($D29*E$2=0,"",$D29*E$2)</f>
        <v/>
      </c>
      <c r="F29" s="5">
        <f>COUNTIFS(data!$B:$B,1,data!$H:$H,5)+COUNTIFS(data!$B:$B,1,data!$H:$H,6)</f>
        <v/>
      </c>
      <c r="G29" s="15">
        <f>F29/E$2</f>
        <v/>
      </c>
      <c r="H29" s="15">
        <f>G29-D29</f>
        <v/>
      </c>
      <c r="I29" s="16">
        <f>D29*I$2</f>
        <v/>
      </c>
      <c r="J29" s="16">
        <f>I29-F29</f>
        <v/>
      </c>
      <c r="K29" s="5" t="inlineStr"/>
      <c r="L29" s="15" t="n">
        <v>0.1</v>
      </c>
      <c r="M29" s="16">
        <f>IF($L29*M$2=0,"",$L29*M$2)</f>
        <v/>
      </c>
      <c r="N29" s="5">
        <f>COUNTIFS(data!$B:$B,2,data!$H:$H,5)+COUNTIFS(data!$B:$B,2,data!$H:$H,6)</f>
        <v/>
      </c>
      <c r="O29" s="15">
        <f>N29/M$2</f>
        <v/>
      </c>
      <c r="P29" s="15">
        <f>O29-L29</f>
        <v/>
      </c>
      <c r="Q29" s="16">
        <f>L29*Q$2</f>
        <v/>
      </c>
      <c r="R29" s="16">
        <f>Q29-N29</f>
        <v/>
      </c>
      <c r="S29" s="5" t="inlineStr"/>
    </row>
    <row r="30">
      <c r="A30" t="inlineStr">
        <is>
          <t>MI</t>
        </is>
      </c>
      <c r="B30" s="5" t="inlineStr">
        <is>
          <t>7:9</t>
        </is>
      </c>
      <c r="C30" s="5" t="inlineStr"/>
      <c r="D30" s="15" t="n">
        <v>0.1</v>
      </c>
      <c r="E30" s="16">
        <f>IF($D30*E$2=0,"",$D30*E$2)</f>
        <v/>
      </c>
      <c r="F30" s="5">
        <f>COUNTIFS(data!$B:$B,1,data!$H:$H,7)+COUNTIFS(data!$B:$B,1,data!$H:$H,8)+COUNTIFS(data!$B:$B,1,data!$H:$H,9)</f>
        <v/>
      </c>
      <c r="G30" s="15">
        <f>F30/E$2</f>
        <v/>
      </c>
      <c r="H30" s="15">
        <f>G30-D30</f>
        <v/>
      </c>
      <c r="I30" s="16">
        <f>D30*I$2</f>
        <v/>
      </c>
      <c r="J30" s="16">
        <f>I30-F30</f>
        <v/>
      </c>
      <c r="K30" s="5" t="inlineStr"/>
      <c r="L30" s="15" t="n">
        <v>0.1</v>
      </c>
      <c r="M30" s="16">
        <f>IF($L30*M$2=0,"",$L30*M$2)</f>
        <v/>
      </c>
      <c r="N30" s="5">
        <f>COUNTIFS(data!$B:$B,2,data!$H:$H,7)+COUNTIFS(data!$B:$B,2,data!$H:$H,8)+COUNTIFS(data!$B:$B,2,data!$H:$H,9)</f>
        <v/>
      </c>
      <c r="O30" s="15">
        <f>N30/M$2</f>
        <v/>
      </c>
      <c r="P30" s="15">
        <f>O30-L30</f>
        <v/>
      </c>
      <c r="Q30" s="16">
        <f>L30*Q$2</f>
        <v/>
      </c>
      <c r="R30" s="16">
        <f>Q30-N30</f>
        <v/>
      </c>
      <c r="S30" s="5" t="inlineStr"/>
    </row>
    <row r="31">
      <c r="A31" t="inlineStr">
        <is>
          <t>FL</t>
        </is>
      </c>
      <c r="B31" s="5" t="n">
        <v>10</v>
      </c>
      <c r="C31" s="5" t="inlineStr"/>
      <c r="D31" s="15" t="n">
        <v>0.1</v>
      </c>
      <c r="E31" s="16">
        <f>IF($D31*E$2=0,"",$D31*E$2)</f>
        <v/>
      </c>
      <c r="F31" s="5">
        <f>COUNTIFS(data!$B:$B,1,data!$H:$H,$B31)</f>
        <v/>
      </c>
      <c r="G31" s="15">
        <f>F31/E$2</f>
        <v/>
      </c>
      <c r="H31" s="15">
        <f>G31-D31</f>
        <v/>
      </c>
      <c r="I31" s="16">
        <f>D31*I$2</f>
        <v/>
      </c>
      <c r="J31" s="16">
        <f>I31-F31</f>
        <v/>
      </c>
      <c r="K31" s="5" t="inlineStr"/>
      <c r="L31" s="15" t="n">
        <v>0.1</v>
      </c>
      <c r="M31" s="16">
        <f>IF($L31*M$2=0,"",$L31*M$2)</f>
        <v/>
      </c>
      <c r="N31" s="5">
        <f>COUNTIFS(data!$B:$B,2,data!$H:$H,$B31)</f>
        <v/>
      </c>
      <c r="O31" s="15">
        <f>N31/M$2</f>
        <v/>
      </c>
      <c r="P31" s="15">
        <f>O31-L31</f>
        <v/>
      </c>
      <c r="Q31" s="16">
        <f>L31*Q$2</f>
        <v/>
      </c>
      <c r="R31" s="16">
        <f>Q31-N31</f>
        <v/>
      </c>
      <c r="S31" s="5" t="inlineStr"/>
    </row>
    <row r="32">
      <c r="A32" t="inlineStr">
        <is>
          <t>NY</t>
        </is>
      </c>
      <c r="B32" s="5" t="n">
        <v>11</v>
      </c>
      <c r="C32" s="5" t="inlineStr"/>
      <c r="D32" s="15" t="n">
        <v>0.1</v>
      </c>
      <c r="E32" s="16">
        <f>IF($D32*E$2=0,"",$D32*E$2)</f>
        <v/>
      </c>
      <c r="F32" s="5">
        <f>COUNTIFS(data!$B:$B,1,data!$H:$H,$B32)</f>
        <v/>
      </c>
      <c r="G32" s="15">
        <f>F32/E$2</f>
        <v/>
      </c>
      <c r="H32" s="15">
        <f>G32-D32</f>
        <v/>
      </c>
      <c r="I32" s="16">
        <f>D32*I$2</f>
        <v/>
      </c>
      <c r="J32" s="16">
        <f>I32-F32</f>
        <v/>
      </c>
      <c r="K32" s="5" t="inlineStr"/>
      <c r="L32" s="15" t="n">
        <v>0.1</v>
      </c>
      <c r="M32" s="16">
        <f>IF($L32*M$2=0,"",$L32*M$2)</f>
        <v/>
      </c>
      <c r="N32" s="5">
        <f>COUNTIFS(data!$B:$B,2,data!$H:$H,$B32)</f>
        <v/>
      </c>
      <c r="O32" s="15">
        <f>N32/M$2</f>
        <v/>
      </c>
      <c r="P32" s="15">
        <f>O32-L32</f>
        <v/>
      </c>
      <c r="Q32" s="16">
        <f>L32*Q$2</f>
        <v/>
      </c>
      <c r="R32" s="16">
        <f>Q32-N32</f>
        <v/>
      </c>
      <c r="S32" s="5" t="inlineStr"/>
    </row>
    <row r="33">
      <c r="A33" t="inlineStr">
        <is>
          <t>OH</t>
        </is>
      </c>
      <c r="B33" s="5" t="n">
        <v>12</v>
      </c>
      <c r="C33" s="5" t="inlineStr"/>
      <c r="D33" s="15" t="n">
        <v>0.1</v>
      </c>
      <c r="E33" s="16">
        <f>IF($D33*E$2=0,"",$D33*E$2)</f>
        <v/>
      </c>
      <c r="F33" s="5">
        <f>COUNTIFS(data!$B:$B,1,data!$H:$H,$B33)</f>
        <v/>
      </c>
      <c r="G33" s="15">
        <f>F33/E$2</f>
        <v/>
      </c>
      <c r="H33" s="15">
        <f>G33-D33</f>
        <v/>
      </c>
      <c r="I33" s="16">
        <f>D33*I$2</f>
        <v/>
      </c>
      <c r="J33" s="16">
        <f>I33-F33</f>
        <v/>
      </c>
      <c r="K33" s="5" t="inlineStr"/>
      <c r="L33" s="15" t="n">
        <v>0.1</v>
      </c>
      <c r="M33" s="16">
        <f>IF($L33*M$2=0,"",$L33*M$2)</f>
        <v/>
      </c>
      <c r="N33" s="5">
        <f>COUNTIFS(data!$B:$B,2,data!$H:$H,$B33)</f>
        <v/>
      </c>
      <c r="O33" s="15">
        <f>N33/M$2</f>
        <v/>
      </c>
      <c r="P33" s="15">
        <f>O33-L33</f>
        <v/>
      </c>
      <c r="Q33" s="16">
        <f>L33*Q$2</f>
        <v/>
      </c>
      <c r="R33" s="16">
        <f>Q33-N33</f>
        <v/>
      </c>
      <c r="S33" s="5" t="inlineStr"/>
    </row>
    <row r="34">
      <c r="A34" t="inlineStr">
        <is>
          <t>Other</t>
        </is>
      </c>
      <c r="B34" s="5" t="inlineStr">
        <is>
          <t>13:50</t>
        </is>
      </c>
      <c r="C34" s="5" t="inlineStr"/>
      <c r="D34" s="15" t="n">
        <v>0.3</v>
      </c>
      <c r="E34" s="16">
        <f>IF($D34*E$2=0,"",$D34*E$2)</f>
        <v/>
      </c>
      <c r="F34" s="5">
        <f>COUNTIFS(data!$B:$B,1,data!$H:$H,13)+COUNTIFS(data!$B:$B,1,data!$H:$H,14)+COUNTIFS(data!$B:$B,1,data!$H:$H,15)+COUNTIFS(data!$B:$B,1,data!$H:$H,16)+COUNTIFS(data!$B:$B,1,data!$H:$H,17)+COUNTIFS(data!$B:$B,1,data!$H:$H,18)+COUNTIFS(data!$B:$B,1,data!$H:$H,19)+COUNTIFS(data!$B:$B,1,data!$H:$H,20)+COUNTIFS(data!$B:$B,1,data!$H:$H,21)+COUNTIFS(data!$B:$B,1,data!$H:$H,22)+COUNTIFS(data!$B:$B,1,data!$H:$H,23)+COUNTIFS(data!$B:$B,1,data!$H:$H,24)+COUNTIFS(data!$B:$B,1,data!$H:$H,25)+COUNTIFS(data!$B:$B,1,data!$H:$H,26)+COUNTIFS(data!$B:$B,1,data!$H:$H,27)+COUNTIFS(data!$B:$B,1,data!$H:$H,28)+COUNTIFS(data!$B:$B,1,data!$H:$H,29)+COUNTIFS(data!$B:$B,1,data!$H:$H,30)+COUNTIFS(data!$B:$B,1,data!$H:$H,31)+COUNTIFS(data!$B:$B,1,data!$H:$H,32)+COUNTIFS(data!$B:$B,1,data!$H:$H,33)+COUNTIFS(data!$B:$B,1,data!$H:$H,34)+COUNTIFS(data!$B:$B,1,data!$H:$H,35)+COUNTIFS(data!$B:$B,1,data!$H:$H,36)+COUNTIFS(data!$B:$B,1,data!$H:$H,37)+COUNTIFS(data!$B:$B,1,data!$H:$H,38)+COUNTIFS(data!$B:$B,1,data!$H:$H,39)+COUNTIFS(data!$B:$B,1,data!$H:$H,40)+COUNTIFS(data!$B:$B,1,data!$H:$H,41)+COUNTIFS(data!$B:$B,1,data!$H:$H,42)+COUNTIFS(data!$B:$B,1,data!$H:$H,43)+COUNTIFS(data!$B:$B,1,data!$H:$H,44)+COUNTIFS(data!$B:$B,1,data!$H:$H,45)+COUNTIFS(data!$B:$B,1,data!$H:$H,46)+COUNTIFS(data!$B:$B,1,data!$H:$H,47)+COUNTIFS(data!$B:$B,1,data!$H:$H,48)+COUNTIFS(data!$B:$B,1,data!$H:$H,49)+COUNTIFS(data!$B:$B,1,data!$H:$H,50)</f>
        <v/>
      </c>
      <c r="G34" s="15">
        <f>F34/E$2</f>
        <v/>
      </c>
      <c r="H34" s="15">
        <f>G34-D34</f>
        <v/>
      </c>
      <c r="I34" s="16">
        <f>D34*I$2</f>
        <v/>
      </c>
      <c r="J34" s="16">
        <f>I34-F34</f>
        <v/>
      </c>
      <c r="K34" s="5" t="inlineStr"/>
      <c r="L34" s="15" t="n">
        <v>0.3</v>
      </c>
      <c r="M34" s="16">
        <f>IF($L34*M$2=0,"",$L34*M$2)</f>
        <v/>
      </c>
      <c r="N34" s="5">
        <f>COUNTIFS(data!$B:$B,2,data!$H:$H,13)+COUNTIFS(data!$B:$B,2,data!$H:$H,14)+COUNTIFS(data!$B:$B,2,data!$H:$H,15)+COUNTIFS(data!$B:$B,2,data!$H:$H,16)+COUNTIFS(data!$B:$B,2,data!$H:$H,17)+COUNTIFS(data!$B:$B,2,data!$H:$H,18)+COUNTIFS(data!$B:$B,2,data!$H:$H,19)+COUNTIFS(data!$B:$B,2,data!$H:$H,20)+COUNTIFS(data!$B:$B,2,data!$H:$H,21)+COUNTIFS(data!$B:$B,2,data!$H:$H,22)+COUNTIFS(data!$B:$B,2,data!$H:$H,23)+COUNTIFS(data!$B:$B,2,data!$H:$H,24)+COUNTIFS(data!$B:$B,2,data!$H:$H,25)+COUNTIFS(data!$B:$B,2,data!$H:$H,26)+COUNTIFS(data!$B:$B,2,data!$H:$H,27)+COUNTIFS(data!$B:$B,2,data!$H:$H,28)+COUNTIFS(data!$B:$B,2,data!$H:$H,29)+COUNTIFS(data!$B:$B,2,data!$H:$H,30)+COUNTIFS(data!$B:$B,2,data!$H:$H,31)+COUNTIFS(data!$B:$B,2,data!$H:$H,32)+COUNTIFS(data!$B:$B,2,data!$H:$H,33)+COUNTIFS(data!$B:$B,2,data!$H:$H,34)+COUNTIFS(data!$B:$B,2,data!$H:$H,35)+COUNTIFS(data!$B:$B,2,data!$H:$H,36)+COUNTIFS(data!$B:$B,2,data!$H:$H,37)+COUNTIFS(data!$B:$B,2,data!$H:$H,38)+COUNTIFS(data!$B:$B,2,data!$H:$H,39)+COUNTIFS(data!$B:$B,2,data!$H:$H,40)+COUNTIFS(data!$B:$B,2,data!$H:$H,41)+COUNTIFS(data!$B:$B,2,data!$H:$H,42)+COUNTIFS(data!$B:$B,2,data!$H:$H,43)+COUNTIFS(data!$B:$B,2,data!$H:$H,44)+COUNTIFS(data!$B:$B,2,data!$H:$H,45)+COUNTIFS(data!$B:$B,2,data!$H:$H,46)+COUNTIFS(data!$B:$B,2,data!$H:$H,47)+COUNTIFS(data!$B:$B,2,data!$H:$H,48)+COUNTIFS(data!$B:$B,2,data!$H:$H,49)+COUNTIFS(data!$B:$B,2,data!$H:$H,50)</f>
        <v/>
      </c>
      <c r="O34" s="15">
        <f>N34/M$2</f>
        <v/>
      </c>
      <c r="P34" s="15">
        <f>O34-L34</f>
        <v/>
      </c>
      <c r="Q34" s="16">
        <f>L34*Q$2</f>
        <v/>
      </c>
      <c r="R34" s="16">
        <f>Q34-N34</f>
        <v/>
      </c>
      <c r="S34" s="5" t="inlineStr"/>
    </row>
    <row r="35">
      <c r="A35" s="23" t="inlineStr"/>
      <c r="B35" s="24" t="inlineStr"/>
      <c r="C35" s="24" t="inlineStr"/>
      <c r="D35" s="25" t="inlineStr"/>
      <c r="E35" s="26" t="inlineStr"/>
      <c r="F35" s="24">
        <f>SUM(F27:F34)</f>
        <v/>
      </c>
      <c r="G35" s="25" t="inlineStr"/>
      <c r="H35" s="25" t="inlineStr"/>
      <c r="I35" s="26" t="inlineStr"/>
      <c r="J35" s="26" t="inlineStr"/>
      <c r="K35" s="24" t="inlineStr"/>
      <c r="L35" s="25" t="inlineStr"/>
      <c r="M35" s="26" t="inlineStr"/>
      <c r="N35" s="24">
        <f>SUM(N27:N34)</f>
        <v/>
      </c>
      <c r="O35" s="25" t="inlineStr"/>
      <c r="P35" s="25" t="inlineStr"/>
      <c r="Q35" s="26" t="inlineStr"/>
      <c r="R35" s="26" t="inlineStr"/>
      <c r="S35" s="24" t="inlineStr"/>
    </row>
    <row r="36">
      <c r="B36" s="5" t="inlineStr"/>
      <c r="C36" s="5" t="inlineStr"/>
      <c r="D36" s="15" t="inlineStr"/>
      <c r="E36" s="16" t="inlineStr"/>
      <c r="F36" s="5" t="inlineStr"/>
      <c r="G36" s="15" t="inlineStr"/>
      <c r="H36" s="15" t="inlineStr"/>
      <c r="I36" s="16" t="inlineStr"/>
      <c r="J36" s="16" t="inlineStr"/>
      <c r="K36" s="5" t="inlineStr"/>
      <c r="L36" s="15" t="inlineStr"/>
      <c r="M36" s="16" t="inlineStr"/>
      <c r="N36" s="5" t="inlineStr"/>
      <c r="O36" s="15" t="inlineStr"/>
      <c r="P36" s="15" t="inlineStr"/>
      <c r="Q36" s="16" t="inlineStr"/>
      <c r="R36" s="16" t="inlineStr"/>
      <c r="S36" s="5" t="inlineStr"/>
    </row>
  </sheetData>
  <conditionalFormatting sqref="H4">
    <cfRule type="expression" priority="1" dxfId="194" stopIfTrue="1">
      <formula>AND(ISNUMBER(H4), H4 &lt; -0.03)</formula>
    </cfRule>
    <cfRule type="expression" priority="2" dxfId="195" stopIfTrue="1">
      <formula>AND(ISNUMBER(H4), H4 &gt; 0.03)</formula>
    </cfRule>
  </conditionalFormatting>
  <conditionalFormatting sqref="H5">
    <cfRule type="expression" priority="3" dxfId="194" stopIfTrue="1">
      <formula>AND(ISNUMBER(H5), H5 &lt; -0.03)</formula>
    </cfRule>
    <cfRule type="expression" priority="4" dxfId="195" stopIfTrue="1">
      <formula>AND(ISNUMBER(H5), H5 &gt; 0.03)</formula>
    </cfRule>
  </conditionalFormatting>
  <conditionalFormatting sqref="H6">
    <cfRule type="expression" priority="5" dxfId="194" stopIfTrue="1">
      <formula>AND(ISNUMBER(H6), H6 &lt; -0.03)</formula>
    </cfRule>
    <cfRule type="expression" priority="6" dxfId="195" stopIfTrue="1">
      <formula>AND(ISNUMBER(H6), H6 &gt; 0.03)</formula>
    </cfRule>
  </conditionalFormatting>
  <conditionalFormatting sqref="H7">
    <cfRule type="expression" priority="7" dxfId="194" stopIfTrue="1">
      <formula>AND(ISNUMBER(H7), H7 &lt; -0.03)</formula>
    </cfRule>
    <cfRule type="expression" priority="8" dxfId="195" stopIfTrue="1">
      <formula>AND(ISNUMBER(H7), H7 &gt; 0.03)</formula>
    </cfRule>
  </conditionalFormatting>
  <conditionalFormatting sqref="H8">
    <cfRule type="expression" priority="9" dxfId="194" stopIfTrue="1">
      <formula>AND(ISNUMBER(H8), H8 &lt; -0.03)</formula>
    </cfRule>
    <cfRule type="expression" priority="10" dxfId="195" stopIfTrue="1">
      <formula>AND(ISNUMBER(H8), H8 &gt; 0.03)</formula>
    </cfRule>
  </conditionalFormatting>
  <conditionalFormatting sqref="H9">
    <cfRule type="expression" priority="11" dxfId="194" stopIfTrue="1">
      <formula>AND(ISNUMBER(H9), H9 &lt; -0.03)</formula>
    </cfRule>
    <cfRule type="expression" priority="12" dxfId="195" stopIfTrue="1">
      <formula>AND(ISNUMBER(H9), H9 &gt; 0.03)</formula>
    </cfRule>
  </conditionalFormatting>
  <conditionalFormatting sqref="H10">
    <cfRule type="expression" priority="13" dxfId="194" stopIfTrue="1">
      <formula>AND(ISNUMBER(H10), H10 &lt; -0.03)</formula>
    </cfRule>
    <cfRule type="expression" priority="14" dxfId="195" stopIfTrue="1">
      <formula>AND(ISNUMBER(H10), H10 &gt; 0.03)</formula>
    </cfRule>
  </conditionalFormatting>
  <conditionalFormatting sqref="H11">
    <cfRule type="expression" priority="15" dxfId="194" stopIfTrue="1">
      <formula>AND(ISNUMBER(H11), H11 &lt; -0.03)</formula>
    </cfRule>
    <cfRule type="expression" priority="16" dxfId="195" stopIfTrue="1">
      <formula>AND(ISNUMBER(H11), H11 &gt; 0.03)</formula>
    </cfRule>
  </conditionalFormatting>
  <conditionalFormatting sqref="H12">
    <cfRule type="expression" priority="17" dxfId="194" stopIfTrue="1">
      <formula>AND(ISNUMBER(H12), H12 &lt; -0.03)</formula>
    </cfRule>
    <cfRule type="expression" priority="18" dxfId="195" stopIfTrue="1">
      <formula>AND(ISNUMBER(H12), H12 &gt; 0.03)</formula>
    </cfRule>
  </conditionalFormatting>
  <conditionalFormatting sqref="H13">
    <cfRule type="expression" priority="19" dxfId="194" stopIfTrue="1">
      <formula>AND(ISNUMBER(H13), H13 &lt; -0.03)</formula>
    </cfRule>
    <cfRule type="expression" priority="20" dxfId="195" stopIfTrue="1">
      <formula>AND(ISNUMBER(H13), H13 &gt; 0.03)</formula>
    </cfRule>
  </conditionalFormatting>
  <conditionalFormatting sqref="H14">
    <cfRule type="expression" priority="21" dxfId="194" stopIfTrue="1">
      <formula>AND(ISNUMBER(H14), H14 &lt; -0.03)</formula>
    </cfRule>
    <cfRule type="expression" priority="22" dxfId="195" stopIfTrue="1">
      <formula>AND(ISNUMBER(H14), H14 &gt; 0.03)</formula>
    </cfRule>
  </conditionalFormatting>
  <conditionalFormatting sqref="H15">
    <cfRule type="expression" priority="23" dxfId="194" stopIfTrue="1">
      <formula>AND(ISNUMBER(H15), H15 &lt; -0.03)</formula>
    </cfRule>
    <cfRule type="expression" priority="24" dxfId="195" stopIfTrue="1">
      <formula>AND(ISNUMBER(H15), H15 &gt; 0.03)</formula>
    </cfRule>
  </conditionalFormatting>
  <conditionalFormatting sqref="H16">
    <cfRule type="expression" priority="25" dxfId="194" stopIfTrue="1">
      <formula>AND(ISNUMBER(H16), H16 &lt; -0.03)</formula>
    </cfRule>
    <cfRule type="expression" priority="26" dxfId="195" stopIfTrue="1">
      <formula>AND(ISNUMBER(H16), H16 &gt; 0.03)</formula>
    </cfRule>
  </conditionalFormatting>
  <conditionalFormatting sqref="H17">
    <cfRule type="expression" priority="27" dxfId="194" stopIfTrue="1">
      <formula>AND(ISNUMBER(H17), H17 &lt; -0.03)</formula>
    </cfRule>
    <cfRule type="expression" priority="28" dxfId="195" stopIfTrue="1">
      <formula>AND(ISNUMBER(H17), H17 &gt; 0.03)</formula>
    </cfRule>
  </conditionalFormatting>
  <conditionalFormatting sqref="H18">
    <cfRule type="expression" priority="29" dxfId="194" stopIfTrue="1">
      <formula>AND(ISNUMBER(H18), H18 &lt; -0.03)</formula>
    </cfRule>
    <cfRule type="expression" priority="30" dxfId="195" stopIfTrue="1">
      <formula>AND(ISNUMBER(H18), H18 &gt; 0.03)</formula>
    </cfRule>
  </conditionalFormatting>
  <conditionalFormatting sqref="H19">
    <cfRule type="expression" priority="31" dxfId="194" stopIfTrue="1">
      <formula>AND(ISNUMBER(H19), H19 &lt; -0.03)</formula>
    </cfRule>
    <cfRule type="expression" priority="32" dxfId="195" stopIfTrue="1">
      <formula>AND(ISNUMBER(H19), H19 &gt; 0.03)</formula>
    </cfRule>
  </conditionalFormatting>
  <conditionalFormatting sqref="H20">
    <cfRule type="expression" priority="33" dxfId="194" stopIfTrue="1">
      <formula>AND(ISNUMBER(H20), H20 &lt; -0.03)</formula>
    </cfRule>
    <cfRule type="expression" priority="34" dxfId="195" stopIfTrue="1">
      <formula>AND(ISNUMBER(H20), H20 &gt; 0.03)</formula>
    </cfRule>
  </conditionalFormatting>
  <conditionalFormatting sqref="H21">
    <cfRule type="expression" priority="35" dxfId="194" stopIfTrue="1">
      <formula>AND(ISNUMBER(H21), H21 &lt; -0.03)</formula>
    </cfRule>
    <cfRule type="expression" priority="36" dxfId="195" stopIfTrue="1">
      <formula>AND(ISNUMBER(H21), H21 &gt; 0.03)</formula>
    </cfRule>
  </conditionalFormatting>
  <conditionalFormatting sqref="H22">
    <cfRule type="expression" priority="37" dxfId="194" stopIfTrue="1">
      <formula>AND(ISNUMBER(H22), H22 &lt; -0.03)</formula>
    </cfRule>
    <cfRule type="expression" priority="38" dxfId="195" stopIfTrue="1">
      <formula>AND(ISNUMBER(H22), H22 &gt; 0.03)</formula>
    </cfRule>
  </conditionalFormatting>
  <conditionalFormatting sqref="H23">
    <cfRule type="expression" priority="39" dxfId="194" stopIfTrue="1">
      <formula>AND(ISNUMBER(H23), H23 &lt; -0.03)</formula>
    </cfRule>
    <cfRule type="expression" priority="40" dxfId="195" stopIfTrue="1">
      <formula>AND(ISNUMBER(H23), H23 &gt; 0.03)</formula>
    </cfRule>
  </conditionalFormatting>
  <conditionalFormatting sqref="H24">
    <cfRule type="expression" priority="41" dxfId="194" stopIfTrue="1">
      <formula>AND(ISNUMBER(H24), H24 &lt; -0.03)</formula>
    </cfRule>
    <cfRule type="expression" priority="42" dxfId="195" stopIfTrue="1">
      <formula>AND(ISNUMBER(H24), H24 &gt; 0.03)</formula>
    </cfRule>
  </conditionalFormatting>
  <conditionalFormatting sqref="H25">
    <cfRule type="expression" priority="43" dxfId="194" stopIfTrue="1">
      <formula>AND(ISNUMBER(H25), H25 &lt; -0.03)</formula>
    </cfRule>
    <cfRule type="expression" priority="44" dxfId="195" stopIfTrue="1">
      <formula>AND(ISNUMBER(H25), H25 &gt; 0.03)</formula>
    </cfRule>
  </conditionalFormatting>
  <conditionalFormatting sqref="H26">
    <cfRule type="expression" priority="45" dxfId="194" stopIfTrue="1">
      <formula>AND(ISNUMBER(H26), H26 &lt; -0.03)</formula>
    </cfRule>
    <cfRule type="expression" priority="46" dxfId="195" stopIfTrue="1">
      <formula>AND(ISNUMBER(H26), H26 &gt; 0.03)</formula>
    </cfRule>
  </conditionalFormatting>
  <conditionalFormatting sqref="H27">
    <cfRule type="expression" priority="47" dxfId="194" stopIfTrue="1">
      <formula>AND(ISNUMBER(H27), H27 &lt; -0.03)</formula>
    </cfRule>
    <cfRule type="expression" priority="48" dxfId="195" stopIfTrue="1">
      <formula>AND(ISNUMBER(H27), H27 &gt; 0.03)</formula>
    </cfRule>
  </conditionalFormatting>
  <conditionalFormatting sqref="H28">
    <cfRule type="expression" priority="49" dxfId="194" stopIfTrue="1">
      <formula>AND(ISNUMBER(H28), H28 &lt; -0.03)</formula>
    </cfRule>
    <cfRule type="expression" priority="50" dxfId="195" stopIfTrue="1">
      <formula>AND(ISNUMBER(H28), H28 &gt; 0.03)</formula>
    </cfRule>
  </conditionalFormatting>
  <conditionalFormatting sqref="H29">
    <cfRule type="expression" priority="51" dxfId="194" stopIfTrue="1">
      <formula>AND(ISNUMBER(H29), H29 &lt; -0.03)</formula>
    </cfRule>
    <cfRule type="expression" priority="52" dxfId="195" stopIfTrue="1">
      <formula>AND(ISNUMBER(H29), H29 &gt; 0.03)</formula>
    </cfRule>
  </conditionalFormatting>
  <conditionalFormatting sqref="H30">
    <cfRule type="expression" priority="53" dxfId="194" stopIfTrue="1">
      <formula>AND(ISNUMBER(H30), H30 &lt; -0.03)</formula>
    </cfRule>
    <cfRule type="expression" priority="54" dxfId="195" stopIfTrue="1">
      <formula>AND(ISNUMBER(H30), H30 &gt; 0.03)</formula>
    </cfRule>
  </conditionalFormatting>
  <conditionalFormatting sqref="H31">
    <cfRule type="expression" priority="55" dxfId="194" stopIfTrue="1">
      <formula>AND(ISNUMBER(H31), H31 &lt; -0.03)</formula>
    </cfRule>
    <cfRule type="expression" priority="56" dxfId="195" stopIfTrue="1">
      <formula>AND(ISNUMBER(H31), H31 &gt; 0.03)</formula>
    </cfRule>
  </conditionalFormatting>
  <conditionalFormatting sqref="H32">
    <cfRule type="expression" priority="57" dxfId="194" stopIfTrue="1">
      <formula>AND(ISNUMBER(H32), H32 &lt; -0.03)</formula>
    </cfRule>
    <cfRule type="expression" priority="58" dxfId="195" stopIfTrue="1">
      <formula>AND(ISNUMBER(H32), H32 &gt; 0.03)</formula>
    </cfRule>
  </conditionalFormatting>
  <conditionalFormatting sqref="H33">
    <cfRule type="expression" priority="59" dxfId="194" stopIfTrue="1">
      <formula>AND(ISNUMBER(H33), H33 &lt; -0.03)</formula>
    </cfRule>
    <cfRule type="expression" priority="60" dxfId="195" stopIfTrue="1">
      <formula>AND(ISNUMBER(H33), H33 &gt; 0.03)</formula>
    </cfRule>
  </conditionalFormatting>
  <conditionalFormatting sqref="H34">
    <cfRule type="expression" priority="61" dxfId="194" stopIfTrue="1">
      <formula>AND(ISNUMBER(H34), H34 &lt; -0.03)</formula>
    </cfRule>
    <cfRule type="expression" priority="62" dxfId="195" stopIfTrue="1">
      <formula>AND(ISNUMBER(H34), H34 &gt; 0.03)</formula>
    </cfRule>
  </conditionalFormatting>
  <conditionalFormatting sqref="J2">
    <cfRule type="expression" priority="63" dxfId="196" stopIfTrue="1">
      <formula>AND(ISNUMBER(J2), J2 &lt; 0)</formula>
    </cfRule>
  </conditionalFormatting>
  <conditionalFormatting sqref="J3">
    <cfRule type="expression" priority="64" dxfId="196" stopIfTrue="1">
      <formula>AND(ISNUMBER(J3), J3 &lt; 0)</formula>
    </cfRule>
  </conditionalFormatting>
  <conditionalFormatting sqref="J4">
    <cfRule type="expression" priority="65" dxfId="196" stopIfTrue="1">
      <formula>AND(ISNUMBER(J4), J4 &lt; 0)</formula>
    </cfRule>
  </conditionalFormatting>
  <conditionalFormatting sqref="J5">
    <cfRule type="expression" priority="66" dxfId="196" stopIfTrue="1">
      <formula>AND(ISNUMBER(J5), J5 &lt; 0)</formula>
    </cfRule>
  </conditionalFormatting>
  <conditionalFormatting sqref="J6">
    <cfRule type="expression" priority="67" dxfId="196" stopIfTrue="1">
      <formula>AND(ISNUMBER(J6), J6 &lt; 0)</formula>
    </cfRule>
  </conditionalFormatting>
  <conditionalFormatting sqref="J7">
    <cfRule type="expression" priority="68" dxfId="196" stopIfTrue="1">
      <formula>AND(ISNUMBER(J7), J7 &lt; 0)</formula>
    </cfRule>
  </conditionalFormatting>
  <conditionalFormatting sqref="J8">
    <cfRule type="expression" priority="69" dxfId="196" stopIfTrue="1">
      <formula>AND(ISNUMBER(J8), J8 &lt; 0)</formula>
    </cfRule>
  </conditionalFormatting>
  <conditionalFormatting sqref="J9">
    <cfRule type="expression" priority="70" dxfId="196" stopIfTrue="1">
      <formula>AND(ISNUMBER(J9), J9 &lt; 0)</formula>
    </cfRule>
  </conditionalFormatting>
  <conditionalFormatting sqref="J10">
    <cfRule type="expression" priority="71" dxfId="196" stopIfTrue="1">
      <formula>AND(ISNUMBER(J10), J10 &lt; 0)</formula>
    </cfRule>
  </conditionalFormatting>
  <conditionalFormatting sqref="J11">
    <cfRule type="expression" priority="72" dxfId="196" stopIfTrue="1">
      <formula>AND(ISNUMBER(J11), J11 &lt; 0)</formula>
    </cfRule>
  </conditionalFormatting>
  <conditionalFormatting sqref="J12">
    <cfRule type="expression" priority="73" dxfId="196" stopIfTrue="1">
      <formula>AND(ISNUMBER(J12), J12 &lt; 0)</formula>
    </cfRule>
  </conditionalFormatting>
  <conditionalFormatting sqref="J13">
    <cfRule type="expression" priority="74" dxfId="196" stopIfTrue="1">
      <formula>AND(ISNUMBER(J13), J13 &lt; 0)</formula>
    </cfRule>
  </conditionalFormatting>
  <conditionalFormatting sqref="J14">
    <cfRule type="expression" priority="75" dxfId="196" stopIfTrue="1">
      <formula>AND(ISNUMBER(J14), J14 &lt; 0)</formula>
    </cfRule>
  </conditionalFormatting>
  <conditionalFormatting sqref="J15">
    <cfRule type="expression" priority="76" dxfId="196" stopIfTrue="1">
      <formula>AND(ISNUMBER(J15), J15 &lt; 0)</formula>
    </cfRule>
  </conditionalFormatting>
  <conditionalFormatting sqref="J16">
    <cfRule type="expression" priority="77" dxfId="196" stopIfTrue="1">
      <formula>AND(ISNUMBER(J16), J16 &lt; 0)</formula>
    </cfRule>
  </conditionalFormatting>
  <conditionalFormatting sqref="J17">
    <cfRule type="expression" priority="78" dxfId="196" stopIfTrue="1">
      <formula>AND(ISNUMBER(J17), J17 &lt; 0)</formula>
    </cfRule>
  </conditionalFormatting>
  <conditionalFormatting sqref="J18">
    <cfRule type="expression" priority="79" dxfId="196" stopIfTrue="1">
      <formula>AND(ISNUMBER(J18), J18 &lt; 0)</formula>
    </cfRule>
  </conditionalFormatting>
  <conditionalFormatting sqref="J19">
    <cfRule type="expression" priority="80" dxfId="196" stopIfTrue="1">
      <formula>AND(ISNUMBER(J19), J19 &lt; 0)</formula>
    </cfRule>
  </conditionalFormatting>
  <conditionalFormatting sqref="J20">
    <cfRule type="expression" priority="81" dxfId="196" stopIfTrue="1">
      <formula>AND(ISNUMBER(J20), J20 &lt; 0)</formula>
    </cfRule>
  </conditionalFormatting>
  <conditionalFormatting sqref="J21">
    <cfRule type="expression" priority="82" dxfId="196" stopIfTrue="1">
      <formula>AND(ISNUMBER(J21), J21 &lt; 0)</formula>
    </cfRule>
  </conditionalFormatting>
  <conditionalFormatting sqref="J22">
    <cfRule type="expression" priority="83" dxfId="196" stopIfTrue="1">
      <formula>AND(ISNUMBER(J22), J22 &lt; 0)</formula>
    </cfRule>
  </conditionalFormatting>
  <conditionalFormatting sqref="J23">
    <cfRule type="expression" priority="84" dxfId="196" stopIfTrue="1">
      <formula>AND(ISNUMBER(J23), J23 &lt; 0)</formula>
    </cfRule>
  </conditionalFormatting>
  <conditionalFormatting sqref="J24">
    <cfRule type="expression" priority="85" dxfId="196" stopIfTrue="1">
      <formula>AND(ISNUMBER(J24), J24 &lt; 0)</formula>
    </cfRule>
  </conditionalFormatting>
  <conditionalFormatting sqref="J25">
    <cfRule type="expression" priority="86" dxfId="196" stopIfTrue="1">
      <formula>AND(ISNUMBER(J25), J25 &lt; 0)</formula>
    </cfRule>
  </conditionalFormatting>
  <conditionalFormatting sqref="J26">
    <cfRule type="expression" priority="87" dxfId="196" stopIfTrue="1">
      <formula>AND(ISNUMBER(J26), J26 &lt; 0)</formula>
    </cfRule>
  </conditionalFormatting>
  <conditionalFormatting sqref="J27">
    <cfRule type="expression" priority="88" dxfId="196" stopIfTrue="1">
      <formula>AND(ISNUMBER(J27), J27 &lt; 0)</formula>
    </cfRule>
  </conditionalFormatting>
  <conditionalFormatting sqref="J28">
    <cfRule type="expression" priority="89" dxfId="196" stopIfTrue="1">
      <formula>AND(ISNUMBER(J28), J28 &lt; 0)</formula>
    </cfRule>
  </conditionalFormatting>
  <conditionalFormatting sqref="J29">
    <cfRule type="expression" priority="90" dxfId="196" stopIfTrue="1">
      <formula>AND(ISNUMBER(J29), J29 &lt; 0)</formula>
    </cfRule>
  </conditionalFormatting>
  <conditionalFormatting sqref="J30">
    <cfRule type="expression" priority="91" dxfId="196" stopIfTrue="1">
      <formula>AND(ISNUMBER(J30), J30 &lt; 0)</formula>
    </cfRule>
  </conditionalFormatting>
  <conditionalFormatting sqref="J31">
    <cfRule type="expression" priority="92" dxfId="196" stopIfTrue="1">
      <formula>AND(ISNUMBER(J31), J31 &lt; 0)</formula>
    </cfRule>
  </conditionalFormatting>
  <conditionalFormatting sqref="J32">
    <cfRule type="expression" priority="93" dxfId="196" stopIfTrue="1">
      <formula>AND(ISNUMBER(J32), J32 &lt; 0)</formula>
    </cfRule>
  </conditionalFormatting>
  <conditionalFormatting sqref="J33">
    <cfRule type="expression" priority="94" dxfId="196" stopIfTrue="1">
      <formula>AND(ISNUMBER(J33), J33 &lt; 0)</formula>
    </cfRule>
  </conditionalFormatting>
  <conditionalFormatting sqref="J34">
    <cfRule type="expression" priority="95" dxfId="196" stopIfTrue="1">
      <formula>AND(ISNUMBER(J34), J34 &lt; 0)</formula>
    </cfRule>
  </conditionalFormatting>
  <conditionalFormatting sqref="J35">
    <cfRule type="expression" priority="96" dxfId="196" stopIfTrue="1">
      <formula>AND(ISNUMBER(J35), J35 &lt; 0)</formula>
    </cfRule>
  </conditionalFormatting>
  <conditionalFormatting sqref="J36">
    <cfRule type="expression" priority="97" dxfId="196" stopIfTrue="1">
      <formula>AND(ISNUMBER(J36), J36 &lt; 0)</formula>
    </cfRule>
  </conditionalFormatting>
  <conditionalFormatting sqref="P4">
    <cfRule type="expression" priority="98" dxfId="194" stopIfTrue="1">
      <formula>AND(ISNUMBER(P4), P4 &lt; -0.03)</formula>
    </cfRule>
    <cfRule type="expression" priority="99" dxfId="195" stopIfTrue="1">
      <formula>AND(ISNUMBER(P4), P4 &gt; 0.03)</formula>
    </cfRule>
  </conditionalFormatting>
  <conditionalFormatting sqref="P5">
    <cfRule type="expression" priority="100" dxfId="194" stopIfTrue="1">
      <formula>AND(ISNUMBER(P5), P5 &lt; -0.03)</formula>
    </cfRule>
    <cfRule type="expression" priority="101" dxfId="195" stopIfTrue="1">
      <formula>AND(ISNUMBER(P5), P5 &gt; 0.03)</formula>
    </cfRule>
  </conditionalFormatting>
  <conditionalFormatting sqref="P6">
    <cfRule type="expression" priority="102" dxfId="194" stopIfTrue="1">
      <formula>AND(ISNUMBER(P6), P6 &lt; -0.03)</formula>
    </cfRule>
    <cfRule type="expression" priority="103" dxfId="195" stopIfTrue="1">
      <formula>AND(ISNUMBER(P6), P6 &gt; 0.03)</formula>
    </cfRule>
  </conditionalFormatting>
  <conditionalFormatting sqref="P7">
    <cfRule type="expression" priority="104" dxfId="194" stopIfTrue="1">
      <formula>AND(ISNUMBER(P7), P7 &lt; -0.03)</formula>
    </cfRule>
    <cfRule type="expression" priority="105" dxfId="195" stopIfTrue="1">
      <formula>AND(ISNUMBER(P7), P7 &gt; 0.03)</formula>
    </cfRule>
  </conditionalFormatting>
  <conditionalFormatting sqref="P8">
    <cfRule type="expression" priority="106" dxfId="194" stopIfTrue="1">
      <formula>AND(ISNUMBER(P8), P8 &lt; -0.03)</formula>
    </cfRule>
    <cfRule type="expression" priority="107" dxfId="195" stopIfTrue="1">
      <formula>AND(ISNUMBER(P8), P8 &gt; 0.03)</formula>
    </cfRule>
  </conditionalFormatting>
  <conditionalFormatting sqref="P9">
    <cfRule type="expression" priority="108" dxfId="194" stopIfTrue="1">
      <formula>AND(ISNUMBER(P9), P9 &lt; -0.03)</formula>
    </cfRule>
    <cfRule type="expression" priority="109" dxfId="195" stopIfTrue="1">
      <formula>AND(ISNUMBER(P9), P9 &gt; 0.03)</formula>
    </cfRule>
  </conditionalFormatting>
  <conditionalFormatting sqref="P10">
    <cfRule type="expression" priority="110" dxfId="194" stopIfTrue="1">
      <formula>AND(ISNUMBER(P10), P10 &lt; -0.03)</formula>
    </cfRule>
    <cfRule type="expression" priority="111" dxfId="195" stopIfTrue="1">
      <formula>AND(ISNUMBER(P10), P10 &gt; 0.03)</formula>
    </cfRule>
  </conditionalFormatting>
  <conditionalFormatting sqref="P11">
    <cfRule type="expression" priority="112" dxfId="194" stopIfTrue="1">
      <formula>AND(ISNUMBER(P11), P11 &lt; -0.03)</formula>
    </cfRule>
    <cfRule type="expression" priority="113" dxfId="195" stopIfTrue="1">
      <formula>AND(ISNUMBER(P11), P11 &gt; 0.03)</formula>
    </cfRule>
  </conditionalFormatting>
  <conditionalFormatting sqref="P12">
    <cfRule type="expression" priority="114" dxfId="194" stopIfTrue="1">
      <formula>AND(ISNUMBER(P12), P12 &lt; -0.03)</formula>
    </cfRule>
    <cfRule type="expression" priority="115" dxfId="195" stopIfTrue="1">
      <formula>AND(ISNUMBER(P12), P12 &gt; 0.03)</formula>
    </cfRule>
  </conditionalFormatting>
  <conditionalFormatting sqref="P13">
    <cfRule type="expression" priority="116" dxfId="194" stopIfTrue="1">
      <formula>AND(ISNUMBER(P13), P13 &lt; -0.03)</formula>
    </cfRule>
    <cfRule type="expression" priority="117" dxfId="195" stopIfTrue="1">
      <formula>AND(ISNUMBER(P13), P13 &gt; 0.03)</formula>
    </cfRule>
  </conditionalFormatting>
  <conditionalFormatting sqref="P14">
    <cfRule type="expression" priority="118" dxfId="194" stopIfTrue="1">
      <formula>AND(ISNUMBER(P14), P14 &lt; -0.03)</formula>
    </cfRule>
    <cfRule type="expression" priority="119" dxfId="195" stopIfTrue="1">
      <formula>AND(ISNUMBER(P14), P14 &gt; 0.03)</formula>
    </cfRule>
  </conditionalFormatting>
  <conditionalFormatting sqref="P15">
    <cfRule type="expression" priority="120" dxfId="194" stopIfTrue="1">
      <formula>AND(ISNUMBER(P15), P15 &lt; -0.03)</formula>
    </cfRule>
    <cfRule type="expression" priority="121" dxfId="195" stopIfTrue="1">
      <formula>AND(ISNUMBER(P15), P15 &gt; 0.03)</formula>
    </cfRule>
  </conditionalFormatting>
  <conditionalFormatting sqref="P16">
    <cfRule type="expression" priority="122" dxfId="194" stopIfTrue="1">
      <formula>AND(ISNUMBER(P16), P16 &lt; -0.03)</formula>
    </cfRule>
    <cfRule type="expression" priority="123" dxfId="195" stopIfTrue="1">
      <formula>AND(ISNUMBER(P16), P16 &gt; 0.03)</formula>
    </cfRule>
  </conditionalFormatting>
  <conditionalFormatting sqref="P17">
    <cfRule type="expression" priority="124" dxfId="194" stopIfTrue="1">
      <formula>AND(ISNUMBER(P17), P17 &lt; -0.03)</formula>
    </cfRule>
    <cfRule type="expression" priority="125" dxfId="195" stopIfTrue="1">
      <formula>AND(ISNUMBER(P17), P17 &gt; 0.03)</formula>
    </cfRule>
  </conditionalFormatting>
  <conditionalFormatting sqref="P18">
    <cfRule type="expression" priority="126" dxfId="194" stopIfTrue="1">
      <formula>AND(ISNUMBER(P18), P18 &lt; -0.03)</formula>
    </cfRule>
    <cfRule type="expression" priority="127" dxfId="195" stopIfTrue="1">
      <formula>AND(ISNUMBER(P18), P18 &gt; 0.03)</formula>
    </cfRule>
  </conditionalFormatting>
  <conditionalFormatting sqref="P19">
    <cfRule type="expression" priority="128" dxfId="194" stopIfTrue="1">
      <formula>AND(ISNUMBER(P19), P19 &lt; -0.03)</formula>
    </cfRule>
    <cfRule type="expression" priority="129" dxfId="195" stopIfTrue="1">
      <formula>AND(ISNUMBER(P19), P19 &gt; 0.03)</formula>
    </cfRule>
  </conditionalFormatting>
  <conditionalFormatting sqref="P20">
    <cfRule type="expression" priority="130" dxfId="194" stopIfTrue="1">
      <formula>AND(ISNUMBER(P20), P20 &lt; -0.03)</formula>
    </cfRule>
    <cfRule type="expression" priority="131" dxfId="195" stopIfTrue="1">
      <formula>AND(ISNUMBER(P20), P20 &gt; 0.03)</formula>
    </cfRule>
  </conditionalFormatting>
  <conditionalFormatting sqref="P21">
    <cfRule type="expression" priority="132" dxfId="194" stopIfTrue="1">
      <formula>AND(ISNUMBER(P21), P21 &lt; -0.03)</formula>
    </cfRule>
    <cfRule type="expression" priority="133" dxfId="195" stopIfTrue="1">
      <formula>AND(ISNUMBER(P21), P21 &gt; 0.03)</formula>
    </cfRule>
  </conditionalFormatting>
  <conditionalFormatting sqref="P22">
    <cfRule type="expression" priority="134" dxfId="194" stopIfTrue="1">
      <formula>AND(ISNUMBER(P22), P22 &lt; -0.03)</formula>
    </cfRule>
    <cfRule type="expression" priority="135" dxfId="195" stopIfTrue="1">
      <formula>AND(ISNUMBER(P22), P22 &gt; 0.03)</formula>
    </cfRule>
  </conditionalFormatting>
  <conditionalFormatting sqref="P23">
    <cfRule type="expression" priority="136" dxfId="194" stopIfTrue="1">
      <formula>AND(ISNUMBER(P23), P23 &lt; -0.03)</formula>
    </cfRule>
    <cfRule type="expression" priority="137" dxfId="195" stopIfTrue="1">
      <formula>AND(ISNUMBER(P23), P23 &gt; 0.03)</formula>
    </cfRule>
  </conditionalFormatting>
  <conditionalFormatting sqref="P24">
    <cfRule type="expression" priority="138" dxfId="194" stopIfTrue="1">
      <formula>AND(ISNUMBER(P24), P24 &lt; -0.03)</formula>
    </cfRule>
    <cfRule type="expression" priority="139" dxfId="195" stopIfTrue="1">
      <formula>AND(ISNUMBER(P24), P24 &gt; 0.03)</formula>
    </cfRule>
  </conditionalFormatting>
  <conditionalFormatting sqref="P25">
    <cfRule type="expression" priority="140" dxfId="194" stopIfTrue="1">
      <formula>AND(ISNUMBER(P25), P25 &lt; -0.03)</formula>
    </cfRule>
    <cfRule type="expression" priority="141" dxfId="195" stopIfTrue="1">
      <formula>AND(ISNUMBER(P25), P25 &gt; 0.03)</formula>
    </cfRule>
  </conditionalFormatting>
  <conditionalFormatting sqref="P26">
    <cfRule type="expression" priority="142" dxfId="194" stopIfTrue="1">
      <formula>AND(ISNUMBER(P26), P26 &lt; -0.03)</formula>
    </cfRule>
    <cfRule type="expression" priority="143" dxfId="195" stopIfTrue="1">
      <formula>AND(ISNUMBER(P26), P26 &gt; 0.03)</formula>
    </cfRule>
  </conditionalFormatting>
  <conditionalFormatting sqref="P27">
    <cfRule type="expression" priority="144" dxfId="194" stopIfTrue="1">
      <formula>AND(ISNUMBER(P27), P27 &lt; -0.03)</formula>
    </cfRule>
    <cfRule type="expression" priority="145" dxfId="195" stopIfTrue="1">
      <formula>AND(ISNUMBER(P27), P27 &gt; 0.03)</formula>
    </cfRule>
  </conditionalFormatting>
  <conditionalFormatting sqref="P28">
    <cfRule type="expression" priority="146" dxfId="194" stopIfTrue="1">
      <formula>AND(ISNUMBER(P28), P28 &lt; -0.03)</formula>
    </cfRule>
    <cfRule type="expression" priority="147" dxfId="195" stopIfTrue="1">
      <formula>AND(ISNUMBER(P28), P28 &gt; 0.03)</formula>
    </cfRule>
  </conditionalFormatting>
  <conditionalFormatting sqref="P29">
    <cfRule type="expression" priority="148" dxfId="194" stopIfTrue="1">
      <formula>AND(ISNUMBER(P29), P29 &lt; -0.03)</formula>
    </cfRule>
    <cfRule type="expression" priority="149" dxfId="195" stopIfTrue="1">
      <formula>AND(ISNUMBER(P29), P29 &gt; 0.03)</formula>
    </cfRule>
  </conditionalFormatting>
  <conditionalFormatting sqref="P30">
    <cfRule type="expression" priority="150" dxfId="194" stopIfTrue="1">
      <formula>AND(ISNUMBER(P30), P30 &lt; -0.03)</formula>
    </cfRule>
    <cfRule type="expression" priority="151" dxfId="195" stopIfTrue="1">
      <formula>AND(ISNUMBER(P30), P30 &gt; 0.03)</formula>
    </cfRule>
  </conditionalFormatting>
  <conditionalFormatting sqref="P31">
    <cfRule type="expression" priority="152" dxfId="194" stopIfTrue="1">
      <formula>AND(ISNUMBER(P31), P31 &lt; -0.03)</formula>
    </cfRule>
    <cfRule type="expression" priority="153" dxfId="195" stopIfTrue="1">
      <formula>AND(ISNUMBER(P31), P31 &gt; 0.03)</formula>
    </cfRule>
  </conditionalFormatting>
  <conditionalFormatting sqref="P32">
    <cfRule type="expression" priority="154" dxfId="194" stopIfTrue="1">
      <formula>AND(ISNUMBER(P32), P32 &lt; -0.03)</formula>
    </cfRule>
    <cfRule type="expression" priority="155" dxfId="195" stopIfTrue="1">
      <formula>AND(ISNUMBER(P32), P32 &gt; 0.03)</formula>
    </cfRule>
  </conditionalFormatting>
  <conditionalFormatting sqref="P33">
    <cfRule type="expression" priority="156" dxfId="194" stopIfTrue="1">
      <formula>AND(ISNUMBER(P33), P33 &lt; -0.03)</formula>
    </cfRule>
    <cfRule type="expression" priority="157" dxfId="195" stopIfTrue="1">
      <formula>AND(ISNUMBER(P33), P33 &gt; 0.03)</formula>
    </cfRule>
  </conditionalFormatting>
  <conditionalFormatting sqref="P34">
    <cfRule type="expression" priority="158" dxfId="194" stopIfTrue="1">
      <formula>AND(ISNUMBER(P34), P34 &lt; -0.03)</formula>
    </cfRule>
    <cfRule type="expression" priority="159" dxfId="195" stopIfTrue="1">
      <formula>AND(ISNUMBER(P34), P34 &gt; 0.03)</formula>
    </cfRule>
  </conditionalFormatting>
  <conditionalFormatting sqref="R2">
    <cfRule type="expression" priority="160" dxfId="196" stopIfTrue="1">
      <formula>AND(ISNUMBER(R2), R2 &lt; 0)</formula>
    </cfRule>
  </conditionalFormatting>
  <conditionalFormatting sqref="R3">
    <cfRule type="expression" priority="161" dxfId="196" stopIfTrue="1">
      <formula>AND(ISNUMBER(R3), R3 &lt; 0)</formula>
    </cfRule>
  </conditionalFormatting>
  <conditionalFormatting sqref="R4">
    <cfRule type="expression" priority="162" dxfId="196" stopIfTrue="1">
      <formula>AND(ISNUMBER(R4), R4 &lt; 0)</formula>
    </cfRule>
  </conditionalFormatting>
  <conditionalFormatting sqref="R5">
    <cfRule type="expression" priority="163" dxfId="196" stopIfTrue="1">
      <formula>AND(ISNUMBER(R5), R5 &lt; 0)</formula>
    </cfRule>
  </conditionalFormatting>
  <conditionalFormatting sqref="R6">
    <cfRule type="expression" priority="164" dxfId="196" stopIfTrue="1">
      <formula>AND(ISNUMBER(R6), R6 &lt; 0)</formula>
    </cfRule>
  </conditionalFormatting>
  <conditionalFormatting sqref="R7">
    <cfRule type="expression" priority="165" dxfId="196" stopIfTrue="1">
      <formula>AND(ISNUMBER(R7), R7 &lt; 0)</formula>
    </cfRule>
  </conditionalFormatting>
  <conditionalFormatting sqref="R8">
    <cfRule type="expression" priority="166" dxfId="196" stopIfTrue="1">
      <formula>AND(ISNUMBER(R8), R8 &lt; 0)</formula>
    </cfRule>
  </conditionalFormatting>
  <conditionalFormatting sqref="R9">
    <cfRule type="expression" priority="167" dxfId="196" stopIfTrue="1">
      <formula>AND(ISNUMBER(R9), R9 &lt; 0)</formula>
    </cfRule>
  </conditionalFormatting>
  <conditionalFormatting sqref="R10">
    <cfRule type="expression" priority="168" dxfId="196" stopIfTrue="1">
      <formula>AND(ISNUMBER(R10), R10 &lt; 0)</formula>
    </cfRule>
  </conditionalFormatting>
  <conditionalFormatting sqref="R11">
    <cfRule type="expression" priority="169" dxfId="196" stopIfTrue="1">
      <formula>AND(ISNUMBER(R11), R11 &lt; 0)</formula>
    </cfRule>
  </conditionalFormatting>
  <conditionalFormatting sqref="R12">
    <cfRule type="expression" priority="170" dxfId="196" stopIfTrue="1">
      <formula>AND(ISNUMBER(R12), R12 &lt; 0)</formula>
    </cfRule>
  </conditionalFormatting>
  <conditionalFormatting sqref="R13">
    <cfRule type="expression" priority="171" dxfId="196" stopIfTrue="1">
      <formula>AND(ISNUMBER(R13), R13 &lt; 0)</formula>
    </cfRule>
  </conditionalFormatting>
  <conditionalFormatting sqref="R14">
    <cfRule type="expression" priority="172" dxfId="196" stopIfTrue="1">
      <formula>AND(ISNUMBER(R14), R14 &lt; 0)</formula>
    </cfRule>
  </conditionalFormatting>
  <conditionalFormatting sqref="R15">
    <cfRule type="expression" priority="173" dxfId="196" stopIfTrue="1">
      <formula>AND(ISNUMBER(R15), R15 &lt; 0)</formula>
    </cfRule>
  </conditionalFormatting>
  <conditionalFormatting sqref="R16">
    <cfRule type="expression" priority="174" dxfId="196" stopIfTrue="1">
      <formula>AND(ISNUMBER(R16), R16 &lt; 0)</formula>
    </cfRule>
  </conditionalFormatting>
  <conditionalFormatting sqref="R17">
    <cfRule type="expression" priority="175" dxfId="196" stopIfTrue="1">
      <formula>AND(ISNUMBER(R17), R17 &lt; 0)</formula>
    </cfRule>
  </conditionalFormatting>
  <conditionalFormatting sqref="R18">
    <cfRule type="expression" priority="176" dxfId="196" stopIfTrue="1">
      <formula>AND(ISNUMBER(R18), R18 &lt; 0)</formula>
    </cfRule>
  </conditionalFormatting>
  <conditionalFormatting sqref="R19">
    <cfRule type="expression" priority="177" dxfId="196" stopIfTrue="1">
      <formula>AND(ISNUMBER(R19), R19 &lt; 0)</formula>
    </cfRule>
  </conditionalFormatting>
  <conditionalFormatting sqref="R20">
    <cfRule type="expression" priority="178" dxfId="196" stopIfTrue="1">
      <formula>AND(ISNUMBER(R20), R20 &lt; 0)</formula>
    </cfRule>
  </conditionalFormatting>
  <conditionalFormatting sqref="R21">
    <cfRule type="expression" priority="179" dxfId="196" stopIfTrue="1">
      <formula>AND(ISNUMBER(R21), R21 &lt; 0)</formula>
    </cfRule>
  </conditionalFormatting>
  <conditionalFormatting sqref="R22">
    <cfRule type="expression" priority="180" dxfId="196" stopIfTrue="1">
      <formula>AND(ISNUMBER(R22), R22 &lt; 0)</formula>
    </cfRule>
  </conditionalFormatting>
  <conditionalFormatting sqref="R23">
    <cfRule type="expression" priority="181" dxfId="196" stopIfTrue="1">
      <formula>AND(ISNUMBER(R23), R23 &lt; 0)</formula>
    </cfRule>
  </conditionalFormatting>
  <conditionalFormatting sqref="R24">
    <cfRule type="expression" priority="182" dxfId="196" stopIfTrue="1">
      <formula>AND(ISNUMBER(R24), R24 &lt; 0)</formula>
    </cfRule>
  </conditionalFormatting>
  <conditionalFormatting sqref="R25">
    <cfRule type="expression" priority="183" dxfId="196" stopIfTrue="1">
      <formula>AND(ISNUMBER(R25), R25 &lt; 0)</formula>
    </cfRule>
  </conditionalFormatting>
  <conditionalFormatting sqref="R26">
    <cfRule type="expression" priority="184" dxfId="196" stopIfTrue="1">
      <formula>AND(ISNUMBER(R26), R26 &lt; 0)</formula>
    </cfRule>
  </conditionalFormatting>
  <conditionalFormatting sqref="R27">
    <cfRule type="expression" priority="185" dxfId="196" stopIfTrue="1">
      <formula>AND(ISNUMBER(R27), R27 &lt; 0)</formula>
    </cfRule>
  </conditionalFormatting>
  <conditionalFormatting sqref="R28">
    <cfRule type="expression" priority="186" dxfId="196" stopIfTrue="1">
      <formula>AND(ISNUMBER(R28), R28 &lt; 0)</formula>
    </cfRule>
  </conditionalFormatting>
  <conditionalFormatting sqref="R29">
    <cfRule type="expression" priority="187" dxfId="196" stopIfTrue="1">
      <formula>AND(ISNUMBER(R29), R29 &lt; 0)</formula>
    </cfRule>
  </conditionalFormatting>
  <conditionalFormatting sqref="R30">
    <cfRule type="expression" priority="188" dxfId="196" stopIfTrue="1">
      <formula>AND(ISNUMBER(R30), R30 &lt; 0)</formula>
    </cfRule>
  </conditionalFormatting>
  <conditionalFormatting sqref="R31">
    <cfRule type="expression" priority="189" dxfId="196" stopIfTrue="1">
      <formula>AND(ISNUMBER(R31), R31 &lt; 0)</formula>
    </cfRule>
  </conditionalFormatting>
  <conditionalFormatting sqref="R32">
    <cfRule type="expression" priority="190" dxfId="196" stopIfTrue="1">
      <formula>AND(ISNUMBER(R32), R32 &lt; 0)</formula>
    </cfRule>
  </conditionalFormatting>
  <conditionalFormatting sqref="R33">
    <cfRule type="expression" priority="191" dxfId="196" stopIfTrue="1">
      <formula>AND(ISNUMBER(R33), R33 &lt; 0)</formula>
    </cfRule>
  </conditionalFormatting>
  <conditionalFormatting sqref="R34">
    <cfRule type="expression" priority="192" dxfId="196" stopIfTrue="1">
      <formula>AND(ISNUMBER(R34), R34 &lt; 0)</formula>
    </cfRule>
  </conditionalFormatting>
  <conditionalFormatting sqref="R35">
    <cfRule type="expression" priority="193" dxfId="196" stopIfTrue="1">
      <formula>AND(ISNUMBER(R35), R35 &lt; 0)</formula>
    </cfRule>
  </conditionalFormatting>
  <conditionalFormatting sqref="R36">
    <cfRule type="expression" priority="194" dxfId="196" stopIfTrue="1">
      <formula>AND(ISNUMBER(R36), R36 &lt; 0)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Column</t>
        </is>
      </c>
      <c r="B1" s="17" t="inlineStr">
        <is>
          <t>Quota</t>
        </is>
      </c>
      <c r="C1" s="17" t="inlineStr">
        <is>
          <t>Code</t>
        </is>
      </c>
      <c r="D1" s="17" t="inlineStr">
        <is>
          <t>Flex</t>
        </is>
      </c>
    </row>
    <row r="2">
      <c r="A2" t="inlineStr">
        <is>
          <t>gender</t>
        </is>
      </c>
      <c r="B2" t="n">
        <v>0.49</v>
      </c>
      <c r="C2" t="n">
        <v>1</v>
      </c>
    </row>
    <row r="3">
      <c r="A3" t="inlineStr">
        <is>
          <t>gender</t>
        </is>
      </c>
      <c r="B3" t="n">
        <v>0.51</v>
      </c>
      <c r="C3" t="n">
        <v>2</v>
      </c>
    </row>
    <row r="4">
      <c r="A4" t="inlineStr">
        <is>
          <t>age</t>
        </is>
      </c>
      <c r="B4" t="n">
        <v>0.2</v>
      </c>
      <c r="C4" t="n">
        <v>1</v>
      </c>
    </row>
    <row r="5">
      <c r="A5" t="inlineStr">
        <is>
          <t>age</t>
        </is>
      </c>
      <c r="B5" t="n">
        <v>0.2</v>
      </c>
      <c r="C5" t="n">
        <v>2</v>
      </c>
    </row>
    <row r="6">
      <c r="A6" t="inlineStr">
        <is>
          <t>age</t>
        </is>
      </c>
      <c r="B6" t="n">
        <v>0.2</v>
      </c>
      <c r="C6" t="n">
        <v>3</v>
      </c>
    </row>
    <row r="7">
      <c r="A7" t="inlineStr">
        <is>
          <t>age</t>
        </is>
      </c>
      <c r="B7" t="n">
        <v>0.2</v>
      </c>
      <c r="C7" t="n">
        <v>4</v>
      </c>
    </row>
    <row r="8">
      <c r="A8" t="inlineStr">
        <is>
          <t>age</t>
        </is>
      </c>
      <c r="B8" t="n">
        <v>0.2</v>
      </c>
      <c r="C8" t="n">
        <v>5</v>
      </c>
    </row>
    <row r="9">
      <c r="A9" t="inlineStr">
        <is>
          <t>ethnicity</t>
        </is>
      </c>
      <c r="B9" t="n">
        <v>0.4</v>
      </c>
      <c r="C9" t="n">
        <v>1</v>
      </c>
    </row>
    <row r="10">
      <c r="A10" t="inlineStr">
        <is>
          <t>ethnicity</t>
        </is>
      </c>
      <c r="B10" t="n">
        <v>0.2</v>
      </c>
      <c r="C10" t="n">
        <v>2</v>
      </c>
    </row>
    <row r="11">
      <c r="A11" t="inlineStr">
        <is>
          <t>ethnicity</t>
        </is>
      </c>
      <c r="B11" t="n">
        <v>0.3</v>
      </c>
      <c r="C11" t="n">
        <v>3</v>
      </c>
    </row>
    <row r="12">
      <c r="A12" t="inlineStr">
        <is>
          <t>ethnicity</t>
        </is>
      </c>
      <c r="B12" t="n">
        <v>0.1</v>
      </c>
      <c r="C12" t="n">
        <v>4</v>
      </c>
    </row>
    <row r="13">
      <c r="A13" t="inlineStr">
        <is>
          <t>party</t>
        </is>
      </c>
      <c r="B13" t="n">
        <v>0.4</v>
      </c>
      <c r="C13" t="n">
        <v>1</v>
      </c>
    </row>
    <row r="14">
      <c r="A14" t="inlineStr">
        <is>
          <t>party</t>
        </is>
      </c>
      <c r="B14" t="n">
        <v>0.4</v>
      </c>
      <c r="C14" t="n">
        <v>2</v>
      </c>
    </row>
    <row r="15">
      <c r="A15" t="inlineStr">
        <is>
          <t>party</t>
        </is>
      </c>
      <c r="B15" t="n">
        <v>0.1</v>
      </c>
      <c r="C15" t="n">
        <v>3</v>
      </c>
    </row>
    <row r="16">
      <c r="A16" t="inlineStr">
        <is>
          <t>state</t>
        </is>
      </c>
      <c r="B16" t="n">
        <v>0.1</v>
      </c>
      <c r="C16" t="n">
        <v>1</v>
      </c>
    </row>
    <row r="17">
      <c r="A17" t="inlineStr">
        <is>
          <t>state</t>
        </is>
      </c>
      <c r="B17" t="n">
        <v>0.1</v>
      </c>
      <c r="C17" t="inlineStr">
        <is>
          <t>2:4</t>
        </is>
      </c>
    </row>
    <row r="18">
      <c r="A18" t="inlineStr">
        <is>
          <t>state</t>
        </is>
      </c>
      <c r="B18" t="n">
        <v>0.1</v>
      </c>
      <c r="C18" t="inlineStr">
        <is>
          <t>5,6</t>
        </is>
      </c>
    </row>
    <row r="19">
      <c r="A19" t="inlineStr">
        <is>
          <t>state</t>
        </is>
      </c>
      <c r="B19" t="n">
        <v>0.1</v>
      </c>
      <c r="C19" t="inlineStr">
        <is>
          <t>7:9</t>
        </is>
      </c>
    </row>
    <row r="20">
      <c r="A20" t="inlineStr">
        <is>
          <t>state</t>
        </is>
      </c>
      <c r="B20" t="n">
        <v>0.1</v>
      </c>
      <c r="C20" t="n">
        <v>10</v>
      </c>
    </row>
    <row r="21">
      <c r="A21" t="inlineStr">
        <is>
          <t>state</t>
        </is>
      </c>
      <c r="B21" t="n">
        <v>0.1</v>
      </c>
      <c r="C21" t="n">
        <v>11</v>
      </c>
    </row>
    <row r="22">
      <c r="A22" t="inlineStr">
        <is>
          <t>state</t>
        </is>
      </c>
      <c r="B22" t="n">
        <v>0.1</v>
      </c>
      <c r="C22" t="n">
        <v>12</v>
      </c>
    </row>
    <row r="23">
      <c r="A23" t="inlineStr">
        <is>
          <t>state</t>
        </is>
      </c>
      <c r="B23" t="n">
        <v>0.3</v>
      </c>
      <c r="C23" t="inlineStr">
        <is>
          <t>13:50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7" t="inlineStr">
        <is>
          <t>Column</t>
        </is>
      </c>
      <c r="B1" s="17" t="inlineStr">
        <is>
          <t>Quota</t>
        </is>
      </c>
      <c r="C1" s="17" t="inlineStr">
        <is>
          <t>Code</t>
        </is>
      </c>
      <c r="D1" s="17" t="inlineStr">
        <is>
          <t>Flex</t>
        </is>
      </c>
    </row>
    <row r="2">
      <c r="A2" t="inlineStr">
        <is>
          <t>gender</t>
        </is>
      </c>
      <c r="B2" t="n">
        <v>0.49</v>
      </c>
      <c r="C2" t="n">
        <v>1</v>
      </c>
    </row>
    <row r="3">
      <c r="A3" t="inlineStr">
        <is>
          <t>gender</t>
        </is>
      </c>
      <c r="B3" t="n">
        <v>0.51</v>
      </c>
      <c r="C3" t="n">
        <v>2</v>
      </c>
    </row>
    <row r="4">
      <c r="A4" t="inlineStr">
        <is>
          <t>age</t>
        </is>
      </c>
      <c r="B4" t="n">
        <v>0.2</v>
      </c>
      <c r="C4" t="n">
        <v>1</v>
      </c>
    </row>
    <row r="5">
      <c r="A5" t="inlineStr">
        <is>
          <t>age</t>
        </is>
      </c>
      <c r="B5" t="n">
        <v>0.2</v>
      </c>
      <c r="C5" t="n">
        <v>2</v>
      </c>
    </row>
    <row r="6">
      <c r="A6" t="inlineStr">
        <is>
          <t>age</t>
        </is>
      </c>
      <c r="B6" t="n">
        <v>0.2</v>
      </c>
      <c r="C6" t="n">
        <v>3</v>
      </c>
    </row>
    <row r="7">
      <c r="A7" t="inlineStr">
        <is>
          <t>age</t>
        </is>
      </c>
      <c r="B7" t="n">
        <v>0.2</v>
      </c>
      <c r="C7" t="n">
        <v>4</v>
      </c>
    </row>
    <row r="8">
      <c r="A8" t="inlineStr">
        <is>
          <t>age</t>
        </is>
      </c>
      <c r="B8" t="n">
        <v>0.2</v>
      </c>
      <c r="C8" t="n">
        <v>5</v>
      </c>
    </row>
    <row r="9">
      <c r="A9" t="inlineStr">
        <is>
          <t>ethnicity</t>
        </is>
      </c>
      <c r="B9" t="n">
        <v>0.4</v>
      </c>
      <c r="C9" t="n">
        <v>1</v>
      </c>
    </row>
    <row r="10">
      <c r="A10" t="inlineStr">
        <is>
          <t>ethnicity</t>
        </is>
      </c>
      <c r="B10" t="n">
        <v>0.2</v>
      </c>
      <c r="C10" t="n">
        <v>2</v>
      </c>
    </row>
    <row r="11">
      <c r="A11" t="inlineStr">
        <is>
          <t>ethnicity</t>
        </is>
      </c>
      <c r="B11" t="n">
        <v>0.3</v>
      </c>
      <c r="C11" t="n">
        <v>3</v>
      </c>
    </row>
    <row r="12">
      <c r="A12" t="inlineStr">
        <is>
          <t>ethnicity</t>
        </is>
      </c>
      <c r="B12" t="n">
        <v>0.1</v>
      </c>
      <c r="C12" t="n">
        <v>4</v>
      </c>
    </row>
    <row r="13">
      <c r="A13" t="inlineStr">
        <is>
          <t>party</t>
        </is>
      </c>
      <c r="B13" t="n">
        <v>0.4</v>
      </c>
      <c r="C13" t="n">
        <v>1</v>
      </c>
    </row>
    <row r="14">
      <c r="A14" t="inlineStr">
        <is>
          <t>party</t>
        </is>
      </c>
      <c r="B14" t="n">
        <v>0.4</v>
      </c>
      <c r="C14" t="n">
        <v>2</v>
      </c>
    </row>
    <row r="15">
      <c r="A15" t="inlineStr">
        <is>
          <t>party</t>
        </is>
      </c>
      <c r="B15" t="n">
        <v>0.1</v>
      </c>
      <c r="C15" t="n">
        <v>3</v>
      </c>
    </row>
    <row r="16">
      <c r="A16" t="inlineStr">
        <is>
          <t>state</t>
        </is>
      </c>
      <c r="B16" t="n">
        <v>0.1</v>
      </c>
      <c r="C16" t="n">
        <v>1</v>
      </c>
    </row>
    <row r="17">
      <c r="A17" t="inlineStr">
        <is>
          <t>state</t>
        </is>
      </c>
      <c r="B17" t="n">
        <v>0.1</v>
      </c>
      <c r="C17" t="inlineStr">
        <is>
          <t>2:4</t>
        </is>
      </c>
    </row>
    <row r="18">
      <c r="A18" t="inlineStr">
        <is>
          <t>state</t>
        </is>
      </c>
      <c r="B18" t="n">
        <v>0.1</v>
      </c>
      <c r="C18" t="inlineStr">
        <is>
          <t>5,6</t>
        </is>
      </c>
    </row>
    <row r="19">
      <c r="A19" t="inlineStr">
        <is>
          <t>state</t>
        </is>
      </c>
      <c r="B19" t="n">
        <v>0.1</v>
      </c>
      <c r="C19" t="inlineStr">
        <is>
          <t>7:9</t>
        </is>
      </c>
    </row>
    <row r="20">
      <c r="A20" t="inlineStr">
        <is>
          <t>state</t>
        </is>
      </c>
      <c r="B20" t="n">
        <v>0.1</v>
      </c>
      <c r="C20" t="n">
        <v>10</v>
      </c>
    </row>
    <row r="21">
      <c r="A21" t="inlineStr">
        <is>
          <t>state</t>
        </is>
      </c>
      <c r="B21" t="n">
        <v>0.1</v>
      </c>
      <c r="C21" t="n">
        <v>11</v>
      </c>
    </row>
    <row r="22">
      <c r="A22" t="inlineStr">
        <is>
          <t>state</t>
        </is>
      </c>
      <c r="B22" t="n">
        <v>0.1</v>
      </c>
      <c r="C22" t="n">
        <v>12</v>
      </c>
    </row>
    <row r="23">
      <c r="A23" t="inlineStr">
        <is>
          <t>state</t>
        </is>
      </c>
      <c r="B23" t="n">
        <v>0.3</v>
      </c>
      <c r="C23" t="inlineStr">
        <is>
          <t>13:50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2025-10-20T15:22:42Z</dcterms:created>
  <dcterms:modified xmlns:dcterms="http://purl.org/dc/terms/" xmlns:xsi="http://www.w3.org/2001/XMLSchema-instance" xsi:type="dcterms:W3CDTF">2025-11-01T06:24:14Z</dcterms:modified>
  <cp:lastModifiedBy>Microsoft Office User</cp:lastModifiedBy>
</cp:coreProperties>
</file>